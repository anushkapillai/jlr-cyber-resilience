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Model" sheetId="4" state="visible" r:id="rId6"/>
    <sheet name="Sensitivity" sheetId="5" state="visible" r:id="rId7"/>
    <sheet name="Check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<sst xmlns="http://schemas.openxmlformats.org/spreadsheetml/2006/main" count="281" uniqueCount="182">
  <si>
    <t xml:space="preserve">JLR: The Business Case for Cyber Resilience. Deliverable 6: Expected-loss and investment model</t>
  </si>
  <si>
    <t xml:space="preserve">Purpose</t>
  </si>
  <si>
    <t xml:space="preserve">Compares four ways to spend a resilience budget (A prevention-first, B recovery-first, C risk transfer, D recovery-led blend) by the expected loss each avoids over three years, against its cost.</t>
  </si>
  <si>
    <t xml:space="preserve">Status</t>
  </si>
  <si>
    <t xml:space="preserve">Independent portfolio analysis using public information only. Not affiliated with or endorsed by JLR or Tata Motors. Every programme cost, probability and saving is an ILLUSTRATIVE ASSUMPTION unless a source is shown. Treat results as a way to see what must be true, not as a forecast.</t>
  </si>
  <si>
    <t xml:space="preserve">How to use</t>
  </si>
  <si>
    <t xml:space="preserve">Change only the blue cells on the Inputs sheet. Every other sheet recalculates. Yellow cells are the assumptions that matter most.</t>
  </si>
  <si>
    <t xml:space="preserve">Colour code</t>
  </si>
  <si>
    <t xml:space="preserve">Blue text = input you can change. Black text = formula. Green text = link to another sheet. Yellow fill = key assumption.</t>
  </si>
  <si>
    <t xml:space="preserve">Sheets</t>
  </si>
  <si>
    <t xml:space="preserve">Inputs: all assumptions with sources. Model: the calculation, one block per scenario. Summary: results and chart. Sensitivity: what moves the answer. Checks: tests that the model reconciles. Sources: where each fact comes from (numbers match the Source Log, Deliverable 1).</t>
  </si>
  <si>
    <t xml:space="preserve">Method</t>
  </si>
  <si>
    <t xml:space="preserve">For each scenario: loss if a JLR-scale cyber event happens = weeks of lost output x weekly revenue x margin on lost revenue + exceptional cost. A programme can change the probability of the event, the weeks lost, and (for insurance) the part of the loss recovered. Expected loss = probability x loss. Net expected benefit = expected loss avoided minus three-year cost. No discounting (three years, illustrative).</t>
  </si>
  <si>
    <t xml:space="preserve">Limits</t>
  </si>
  <si>
    <t xml:space="preserve">Public information gives no programme costs or attack probabilities, so those are placeholders that the board should replace. Revenue is not profit: the margin input converts lost revenue to lost profit. Supplier and wider UK losses are not counted.</t>
  </si>
  <si>
    <t xml:space="preserve">Summary: what each option is worth over three years (£m)</t>
  </si>
  <si>
    <t xml:space="preserve">All values link to the Model sheet and update when Inputs change. Illustrative assumptions.</t>
  </si>
  <si>
    <t xml:space="preserve">Net expected benefit (avoided loss minus cost), £m</t>
  </si>
  <si>
    <t xml:space="preserve">Lower risk</t>
  </si>
  <si>
    <t xml:space="preserve">Central</t>
  </si>
  <si>
    <t xml:space="preserve">Higher risk</t>
  </si>
  <si>
    <t xml:space="preserve">A Prevention-first</t>
  </si>
  <si>
    <t xml:space="preserve">B Recovery-first</t>
  </si>
  <si>
    <t xml:space="preserve">C Risk transfer</t>
  </si>
  <si>
    <t xml:space="preserve">D Recovery-led blend</t>
  </si>
  <si>
    <t xml:space="preserve">Best option on this measure</t>
  </si>
  <si>
    <t xml:space="preserve">Expected loss avoided, £m</t>
  </si>
  <si>
    <t xml:space="preserve">Three-year cost, £m (input)</t>
  </si>
  <si>
    <t xml:space="preserve">Cost</t>
  </si>
  <si>
    <t xml:space="preserve">Break-even probability of a cyber event (central inputs)</t>
  </si>
  <si>
    <t xml:space="preserve">Break-even</t>
  </si>
  <si>
    <t xml:space="preserve">Central assumption</t>
  </si>
  <si>
    <t xml:space="preserve">Above 100% means the option cannot pay back on expected profit at any probability.</t>
  </si>
  <si>
    <t xml:space="preserve">If the cyber event happens (central), £m</t>
  </si>
  <si>
    <t xml:space="preserve">Do nothing</t>
  </si>
  <si>
    <t xml:space="preserve">A</t>
  </si>
  <si>
    <t xml:space="preserve">B</t>
  </si>
  <si>
    <t xml:space="preserve">C</t>
  </si>
  <si>
    <t xml:space="preserve">D</t>
  </si>
  <si>
    <t xml:space="preserve">Net event loss after insurance</t>
  </si>
  <si>
    <t xml:space="preserve">Reduction compared with doing nothing</t>
  </si>
  <si>
    <t xml:space="preserve">Net event loss as % of FY25 profit before tax</t>
  </si>
  <si>
    <t xml:space="preserve">Inputs and assumptions (£m unless stated)</t>
  </si>
  <si>
    <t xml:space="preserve">Blue = edit me. Yellow = key assumption. All programme costs, probabilities and savings are illustrative assumptions, not JLR figures.</t>
  </si>
  <si>
    <t xml:space="preserve">Scenario inputs</t>
  </si>
  <si>
    <t xml:space="preserve">Unit</t>
  </si>
  <si>
    <t xml:space="preserve">Basis (source numbers match Deliverable 1)</t>
  </si>
  <si>
    <t xml:space="preserve">Probability of a JLR-scale cyber event within 3 years</t>
  </si>
  <si>
    <t xml:space="preserve">%</t>
  </si>
  <si>
    <t xml:space="preserve">ASSUMPTION. No public source gives this. NCSC reports nationally significant incidents rose from 89 to 204 in a year [10], which argues against very low values. Tested widely.</t>
  </si>
  <si>
    <t xml:space="preserve">Probability of a non-cyber outage of similar length within 3 years</t>
  </si>
  <si>
    <t xml:space="preserve">ASSUMPTION. Recovery capability (B, D) also helps here; prevention and insurance do not.</t>
  </si>
  <si>
    <t xml:space="preserve">Margin on lost revenue (profit lost per £ of revenue)</t>
  </si>
  <si>
    <t xml:space="preserve">ASSUMPTION. Lost revenue is not lost profit; some costs fall when output stops. Deliverable 4 note.</t>
  </si>
  <si>
    <t xml:space="preserve">Weeks of output lost without the programme</t>
  </si>
  <si>
    <t xml:space="preserve">weeks</t>
  </si>
  <si>
    <t xml:space="preserve">Deliverable 4: 7.3 weeks (Q1 FY26 run rate); 6.3 and 8.9 weeks are its 5% baseline and Q4 baseline tests. Derived from [23][24][26].</t>
  </si>
  <si>
    <t xml:space="preserve">Weeks saved by a recovery programme (B and D)</t>
  </si>
  <si>
    <t xml:space="preserve">ASSUMPTION. Deliverable 5 break-even table tests 1, 2 and 3 weeks. Maersk rebuilt in 10 days [30]; JLR's own saving is unknown.</t>
  </si>
  <si>
    <t xml:space="preserve">Common inputs (same in every scenario; value in column D)</t>
  </si>
  <si>
    <t xml:space="preserve">Q1 FY26 revenue (pre-attack run rate)</t>
  </si>
  <si>
    <t xml:space="preserve">£m</t>
  </si>
  <si>
    <t xml:space="preserve">Derived: H1 revenue £11.5bn less Q2 £4.9bn [7][25][26]. Used in Deliverable 4.</t>
  </si>
  <si>
    <t xml:space="preserve">Weeks in a quarter</t>
  </si>
  <si>
    <t xml:space="preserve">Arithmetic.</t>
  </si>
  <si>
    <t xml:space="preserve">Revenue per week</t>
  </si>
  <si>
    <t xml:space="preserve">Formula. Deliverable 4: about £0.51bn a week.</t>
  </si>
  <si>
    <t xml:space="preserve">Exceptional cyber cost per event</t>
  </si>
  <si>
    <t xml:space="preserve">JLR Annual Report 2025/26: exceptional cyber items £260m for the full year [26]; Insurance Business says none was recovered [28].</t>
  </si>
  <si>
    <t xml:space="preserve">Insurance recovery rate (share of event loss paid, up to the limit)</t>
  </si>
  <si>
    <t xml:space="preserve">M&amp;S could claim up to £100m against a profit hit of about £300m [28]. Norsk Hydro's first payout was about 6% of losses [29]. Tested 0% to 50% on Sensitivity.</t>
  </si>
  <si>
    <t xml:space="preserve">FY25 profit before tax and exceptional items (context)</t>
  </si>
  <si>
    <t xml:space="preserve">JLR FY25 results release [20]; used only to size the event loss.</t>
  </si>
  <si>
    <t xml:space="preserve">Liquidity at 31 March 2026 (context)</t>
  </si>
  <si>
    <t xml:space="preserve">JLR Annual Report 2025/26 [26].</t>
  </si>
  <si>
    <t xml:space="preserve">Option parameters</t>
  </si>
  <si>
    <t xml:space="preserve">Basis</t>
  </si>
  <si>
    <t xml:space="preserve">Each option (columns C to F)</t>
  </si>
  <si>
    <t xml:space="preserve">Three-year programme cost</t>
  </si>
  <si>
    <t xml:space="preserve">ASSUMPTION (placeholder). A: broad programme. B: recovery capability. C: premiums for a £150m limit. D: B plus £25m targeted prevention plus premiums for a £100m limit. Tested 0.5x to 1.5x.</t>
  </si>
  <si>
    <t xml:space="preserve">Relative cut in cyber event probability</t>
  </si>
  <si>
    <t xml:space="preserve">ASSUMPTION. Prevention lowers the odds but cannot remove them [10][27]. D includes only targeted prevention.</t>
  </si>
  <si>
    <t xml:space="preserve">Share of the weeks-saved input that the option achieves</t>
  </si>
  <si>
    <t xml:space="preserve">ASSUMPTION. Only recovery capability (B, D) shortens the stop; prevention helps a little.</t>
  </si>
  <si>
    <t xml:space="preserve">Recovery capability also helps non-cyber outages (1 = yes)</t>
  </si>
  <si>
    <t xml:space="preserve">flag</t>
  </si>
  <si>
    <t xml:space="preserve">Design logic from Deliverable 5 criterion 3.</t>
  </si>
  <si>
    <t xml:space="preserve">Insurance limit</t>
  </si>
  <si>
    <t xml:space="preserve">ASSUMPTION. M&amp;S had £100m of cover [28]. JLR had none in force [28].</t>
  </si>
  <si>
    <t xml:space="preserve">Model: loss, expected loss and net benefit by scenario (£m)</t>
  </si>
  <si>
    <t xml:space="preserve">All cells are formulas. Edit the Inputs sheet only. Columns: Do nothing, then options A to D.</t>
  </si>
  <si>
    <t xml:space="preserve">Scenario: Lower risk</t>
  </si>
  <si>
    <t xml:space="preserve">£m unless stated</t>
  </si>
  <si>
    <t xml:space="preserve">Probability of a cyber event within 3 years</t>
  </si>
  <si>
    <t xml:space="preserve">Weeks of output lost if the event happens</t>
  </si>
  <si>
    <t xml:space="preserve">Lost profit if the event happens</t>
  </si>
  <si>
    <t xml:space="preserve">Exceptional cyber cost</t>
  </si>
  <si>
    <t xml:space="preserve">Total event loss before insurance</t>
  </si>
  <si>
    <t xml:space="preserve">Insurance recovery</t>
  </si>
  <si>
    <t xml:space="preserve">Expected cyber loss over 3 years</t>
  </si>
  <si>
    <t xml:space="preserve">Weeks lost in a non-cyber outage</t>
  </si>
  <si>
    <t xml:space="preserve">Expected non-cyber loss over 3 years</t>
  </si>
  <si>
    <t xml:space="preserve">Expected total loss over 3 years</t>
  </si>
  <si>
    <t xml:space="preserve">Expected loss avoided vs do nothing</t>
  </si>
  <si>
    <t xml:space="preserve">Net expected benefit (avoided loss minus cost)</t>
  </si>
  <si>
    <t xml:space="preserve">Benefit-to-cost ratio</t>
  </si>
  <si>
    <t xml:space="preserve">Reduction in net loss if the event happens</t>
  </si>
  <si>
    <t xml:space="preserve">Break-even probability of the cyber event</t>
  </si>
  <si>
    <t xml:space="preserve">Scenario: Central</t>
  </si>
  <si>
    <t xml:space="preserve">Scenario: Higher risk</t>
  </si>
  <si>
    <t xml:space="preserve">Notes</t>
  </si>
  <si>
    <t xml:space="preserve">Break-even probability: the chance of a JLR-scale cyber event within three years at which an option's expected benefit equals its cost, other inputs unchanged. Above 100% means it cannot pay back on expected profit alone.</t>
  </si>
  <si>
    <t xml:space="preserve">The model counts JLR's own lost profit and exceptional cost only. It does not count losses borne by suppliers (the CMC estimates about 5,000 organisations were affected [8][9]) or the wider UK.</t>
  </si>
  <si>
    <t xml:space="preserve">Expected value ignores risk appetite. Insurance is priced above its expected payout, so it can look poor on expected value while still reducing the size of a bad outcome.</t>
  </si>
  <si>
    <t xml:space="preserve">Sensitivity: what moves the answer (central inputs unless stated)</t>
  </si>
  <si>
    <t xml:space="preserve">1. Option B net expected benefit (£m): probability of cyber event (rows) by weeks saved (columns)</t>
  </si>
  <si>
    <t xml:space="preserve">Probability \ weeks saved</t>
  </si>
  <si>
    <t xml:space="preserve">2. Break-even probability of a cyber event: cost (rows) by weeks saved (columns). Cost ÷ (weeks saved x weekly profit). Ignores non-cyber benefit.</t>
  </si>
  <si>
    <t xml:space="preserve">Cost £m \ weeks saved</t>
  </si>
  <si>
    <t xml:space="preserve">3. Insurance recovery rate: net expected benefit (£m) of C and D</t>
  </si>
  <si>
    <t xml:space="preserve">Recovery rate</t>
  </si>
  <si>
    <t xml:space="preserve">0% = no recovery; 6% = Norsk Hydro first payout [29]; 33% = M&amp;S cover against profit hit [28]; 50% = optimistic.</t>
  </si>
  <si>
    <t xml:space="preserve">4. Programme cost multiplier: net expected benefit (£m) of B and D</t>
  </si>
  <si>
    <t xml:space="preserve">Cost multiplier</t>
  </si>
  <si>
    <t xml:space="preserve">5. Margin on lost revenue: net expected benefit (£m) of B (central probability, 2 weeks saved)</t>
  </si>
  <si>
    <t xml:space="preserve">Margin</t>
  </si>
  <si>
    <t xml:space="preserve">Checks: does the model reconcile?</t>
  </si>
  <si>
    <t xml:space="preserve">Test</t>
  </si>
  <si>
    <t xml:space="preserve">Result</t>
  </si>
  <si>
    <t xml:space="preserve">Detail</t>
  </si>
  <si>
    <t xml:space="preserve">Revenue per week is about £508m (Deliverable 4: £6.6bn ÷ 13)</t>
  </si>
  <si>
    <t xml:space="preserve">Inputs!D15</t>
  </si>
  <si>
    <t xml:space="preserve">Central do-nothing event loss = weeks x weekly profit + exceptional cost</t>
  </si>
  <si>
    <t xml:space="preserve">Model central block</t>
  </si>
  <si>
    <t xml:space="preserve">Sensitivity grid agrees with Model for option B (15% probability, 2 weeks)</t>
  </si>
  <si>
    <t xml:space="preserve">Sensitivity!E7 vs Model</t>
  </si>
  <si>
    <t xml:space="preserve">All probabilities are between 0% and 100%</t>
  </si>
  <si>
    <t xml:space="preserve">Inputs rows 6, 7, 24</t>
  </si>
  <si>
    <t xml:space="preserve">Insurance recovery never exceeds the policy limit</t>
  </si>
  <si>
    <t xml:space="preserve">Model rows</t>
  </si>
  <si>
    <t xml:space="preserve">Net benefit = loss avoided minus cost for option D (central)</t>
  </si>
  <si>
    <t xml:space="preserve">Overall</t>
  </si>
  <si>
    <t xml:space="preserve">Sources for fixed facts (numbers match the Source Log, Deliverable 1)</t>
  </si>
  <si>
    <t xml:space="preserve">Ref</t>
  </si>
  <si>
    <t xml:space="preserve">Fact used</t>
  </si>
  <si>
    <t xml:space="preserve">Source</t>
  </si>
  <si>
    <t xml:space="preserve">[7]</t>
  </si>
  <si>
    <t xml:space="preserve">Q2 FY26 results summary (loss, exceptional items)</t>
  </si>
  <si>
    <t xml:space="preserve">JLR results summary, JEC, Nov 2025</t>
  </si>
  <si>
    <t xml:space="preserve">[8]</t>
  </si>
  <si>
    <t xml:space="preserve">CMC £1.9bn, about 5,000 UK organisations</t>
  </si>
  <si>
    <t xml:space="preserve">Infosecurity Magazine, Oct 2025</t>
  </si>
  <si>
    <t xml:space="preserve">[9]</t>
  </si>
  <si>
    <t xml:space="preserve">CMC cost borne by supply chain</t>
  </si>
  <si>
    <t xml:space="preserve">Computing, Oct 2025</t>
  </si>
  <si>
    <t xml:space="preserve">[10]</t>
  </si>
  <si>
    <t xml:space="preserve">NCSC incident counts</t>
  </si>
  <si>
    <t xml:space="preserve">NCSC Annual Review 2025</t>
  </si>
  <si>
    <t xml:space="preserve">[20]</t>
  </si>
  <si>
    <t xml:space="preserve">FY25 profit before tax £2.5bn</t>
  </si>
  <si>
    <t xml:space="preserve">JLR FY25 results release (Automotive World)</t>
  </si>
  <si>
    <t xml:space="preserve">[23]</t>
  </si>
  <si>
    <t xml:space="preserve">Q2 FY26 volumes</t>
  </si>
  <si>
    <t xml:space="preserve">Automotive World, Oct 2025</t>
  </si>
  <si>
    <t xml:space="preserve">[24]</t>
  </si>
  <si>
    <t xml:space="preserve">Q3 FY26 volumes</t>
  </si>
  <si>
    <t xml:space="preserve">JLR Q3 sales release</t>
  </si>
  <si>
    <t xml:space="preserve">[25]</t>
  </si>
  <si>
    <t xml:space="preserve">Q2 revenue</t>
  </si>
  <si>
    <t xml:space="preserve">Yahoo Finance, Nov 2025</t>
  </si>
  <si>
    <t xml:space="preserve">[26]</t>
  </si>
  <si>
    <t xml:space="preserve">FY26 financials: £260m exceptional cyber cost, liquidity £6.9bn</t>
  </si>
  <si>
    <t xml:space="preserve">JLR Annual Report 2025/26, 21 May 2026</t>
  </si>
  <si>
    <t xml:space="preserve">[28]</t>
  </si>
  <si>
    <t xml:space="preserve">No cyber policy in force; none of £260m recovered; M&amp;S £100m cover vs about £300m hit</t>
  </si>
  <si>
    <t xml:space="preserve">Insurance Business UK, 7 Sep 2026</t>
  </si>
  <si>
    <t xml:space="preserve">[29]</t>
  </si>
  <si>
    <t xml:space="preserve">Norsk Hydro first payout about 6% of losses</t>
  </si>
  <si>
    <t xml:space="preserve">Computing, 29 Oct 2019</t>
  </si>
  <si>
    <t xml:space="preserve">[30]</t>
  </si>
  <si>
    <t xml:space="preserve">Maersk rebuilt in 10 days</t>
  </si>
  <si>
    <t xml:space="preserve">Supply Chain Dive, 29 Jan 2018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</si>
</sst>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;&quot;(£&quot;#,##0\);\-"/>
    <numFmt numFmtId="166" formatCode="0%"/>
    <numFmt numFmtId="167" formatCode="0.0%;\(0.0%\);\-"/>
    <numFmt numFmtId="168" formatCode="0.0"/>
    <numFmt numFmtId="169" formatCode="0"/>
    <numFmt numFmtId="170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8305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483050"/>
      <name val="Arial"/>
      <family val="0"/>
      <charset val="1"/>
    </font>
    <font>
      <i val="true"/>
      <sz val="10"/>
      <color rgb="FF6E63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83050"/>
        <bgColor rgb="FF333399"/>
      </patternFill>
    </fill>
    <fill>
      <patternFill patternType="solid">
        <fgColor rgb="FFF3EEF7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3EE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E63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83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expected benefit by option and scenario (£m, 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Lower risk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A Prevention-first</c:v>
                </c:pt>
                <c:pt idx="1">
                  <c:v>B Recovery-first</c:v>
                </c:pt>
                <c:pt idx="2">
                  <c:v>C Risk transfer</c:v>
                </c:pt>
                <c:pt idx="3">
                  <c:v>D Recovery-led blend</c:v>
                </c:pt>
              </c:strCache>
            </c:strRef>
          </c:cat>
          <c:val>
            <c:numRef>
              <c:f>Summary!$B$5:$B$8</c:f>
              <c:numCache>
                <c:formatCode>\£#,##0;"(£"#,##0\);\-</c:formatCode>
                <c:ptCount val="4"/>
                <c:pt idx="0">
                  <c:v>-138.237115384615</c:v>
                </c:pt>
                <c:pt idx="1">
                  <c:v>-76.1923076923077</c:v>
                </c:pt>
                <c:pt idx="2">
                  <c:v>-37.5</c:v>
                </c:pt>
                <c:pt idx="3">
                  <c:v>-123.374230769231</c:v>
                </c:pt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A Prevention-first</c:v>
                </c:pt>
                <c:pt idx="1">
                  <c:v>B Recovery-first</c:v>
                </c:pt>
                <c:pt idx="2">
                  <c:v>C Risk transfer</c:v>
                </c:pt>
                <c:pt idx="3">
                  <c:v>D Recovery-led blend</c:v>
                </c:pt>
              </c:strCache>
            </c:strRef>
          </c:cat>
          <c:val>
            <c:numRef>
              <c:f>Summary!$C$5:$C$8</c:f>
              <c:numCache>
                <c:formatCode>\£#,##0;"(£"#,##0\);\-</c:formatCode>
                <c:ptCount val="4"/>
                <c:pt idx="0">
                  <c:v>-99.6138461538462</c:v>
                </c:pt>
                <c:pt idx="1">
                  <c:v>-39.3846153846154</c:v>
                </c:pt>
                <c:pt idx="2">
                  <c:v>-22.5</c:v>
                </c:pt>
                <c:pt idx="3">
                  <c:v>-68.9123076923077</c:v>
                </c:pt>
              </c:numCache>
            </c:numRef>
          </c:val>
        </c:ser>
        <c:ser>
          <c:idx val="2"/>
          <c:order val="2"/>
          <c:tx>
            <c:strRef>
              <c:f>Summary!D4</c:f>
              <c:strCache>
                <c:ptCount val="1"/>
                <c:pt idx="0">
                  <c:v>Higher risk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A Prevention-first</c:v>
                </c:pt>
                <c:pt idx="1">
                  <c:v>B Recovery-first</c:v>
                </c:pt>
                <c:pt idx="2">
                  <c:v>C Risk transfer</c:v>
                </c:pt>
                <c:pt idx="3">
                  <c:v>D Recovery-led blend</c:v>
                </c:pt>
              </c:strCache>
            </c:strRef>
          </c:cat>
          <c:val>
            <c:numRef>
              <c:f>Summary!$D$5:$D$8</c:f>
              <c:numCache>
                <c:formatCode>\£#,##0;"(£"#,##0\);\-</c:formatCode>
                <c:ptCount val="4"/>
                <c:pt idx="0">
                  <c:v>-4.94423076923079</c:v>
                </c:pt>
                <c:pt idx="1">
                  <c:v>72.3076923076923</c:v>
                </c:pt>
                <c:pt idx="2">
                  <c:v>0</c:v>
                </c:pt>
                <c:pt idx="3">
                  <c:v>74.5730769230769</c:v>
                </c:pt>
              </c:numCache>
            </c:numRef>
          </c:val>
        </c:ser>
        <c:gapWidth val="150"/>
        <c:overlap val="0"/>
        <c:axId val="82688698"/>
        <c:axId val="39762216"/>
      </c:barChart>
      <c:catAx>
        <c:axId val="82688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62216"/>
        <c:crosses val="autoZero"/>
        <c:auto val="1"/>
        <c:lblAlgn val="ctr"/>
        <c:lblOffset val="100"/>
        <c:noMultiLvlLbl val="0"/>
      </c:catAx>
      <c:valAx>
        <c:axId val="39762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886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176040</xdr:rowOff>
    </xdr:from>
    <xdr:to>
      <xdr:col>17</xdr:col>
      <xdr:colOff>364320</xdr:colOff>
      <xdr:row>17</xdr:row>
      <xdr:rowOff>187560</xdr:rowOff>
    </xdr:to>
    <xdr:graphicFrame>
      <xdr:nvGraphicFramePr>
        <xdr:cNvPr id="0" name="Chart 1"/>
        <xdr:cNvGraphicFramePr/>
      </xdr:nvGraphicFramePr>
      <xdr:xfrm>
        <a:off x="10197360" y="571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61.5" hidden="false" customHeight="true" outlineLevel="0" collapsed="false">
      <c r="A4" s="2" t="s">
        <v>3</v>
      </c>
      <c r="B4" s="3" t="s">
        <v>4</v>
      </c>
    </row>
    <row r="5" customFormat="false" ht="43.5" hidden="false" customHeight="true" outlineLevel="0" collapsed="false">
      <c r="A5" s="2" t="s">
        <v>5</v>
      </c>
      <c r="B5" s="3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61.5" hidden="false" customHeight="true" outlineLevel="0" collapsed="false">
      <c r="A7" s="2" t="s">
        <v>9</v>
      </c>
      <c r="B7" s="3" t="s">
        <v>10</v>
      </c>
    </row>
    <row r="8" customFormat="false" ht="61.5" hidden="false" customHeight="true" outlineLevel="0" collapsed="false">
      <c r="A8" s="2" t="s">
        <v>11</v>
      </c>
      <c r="B8" s="3" t="s">
        <v>12</v>
      </c>
    </row>
    <row r="9" customFormat="false" ht="61.5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6" min="2" style="0" width="16"/>
  </cols>
  <sheetData>
    <row r="1" customFormat="false" ht="16.15" hidden="false" customHeight="false" outlineLevel="0" collapsed="false">
      <c r="A1" s="4" t="s">
        <v>15</v>
      </c>
    </row>
    <row r="2" customFormat="false" ht="15" hidden="false" customHeight="false" outlineLevel="0" collapsed="false">
      <c r="A2" s="5" t="s">
        <v>16</v>
      </c>
    </row>
    <row r="4" customFormat="false" ht="15" hidden="false" customHeight="false" outlineLevel="0" collapsed="false">
      <c r="A4" s="6" t="s">
        <v>17</v>
      </c>
      <c r="B4" s="7" t="s">
        <v>18</v>
      </c>
      <c r="C4" s="7" t="s">
        <v>19</v>
      </c>
      <c r="D4" s="7" t="s">
        <v>20</v>
      </c>
    </row>
    <row r="5" customFormat="false" ht="15" hidden="false" customHeight="false" outlineLevel="0" collapsed="false">
      <c r="A5" s="8" t="s">
        <v>21</v>
      </c>
      <c r="B5" s="9" t="n">
        <f aca="false">Model!C19</f>
        <v>-138.237115384615</v>
      </c>
      <c r="C5" s="9" t="n">
        <f aca="false">Model!C42</f>
        <v>-99.6138461538462</v>
      </c>
      <c r="D5" s="9" t="n">
        <f aca="false">Model!C65</f>
        <v>-4.94423076923079</v>
      </c>
    </row>
    <row r="6" customFormat="false" ht="15" hidden="false" customHeight="false" outlineLevel="0" collapsed="false">
      <c r="A6" s="8" t="s">
        <v>22</v>
      </c>
      <c r="B6" s="9" t="n">
        <f aca="false">Model!D19</f>
        <v>-76.1923076923077</v>
      </c>
      <c r="C6" s="9" t="n">
        <f aca="false">Model!D42</f>
        <v>-39.3846153846154</v>
      </c>
      <c r="D6" s="9" t="n">
        <f aca="false">Model!D65</f>
        <v>72.3076923076923</v>
      </c>
    </row>
    <row r="7" customFormat="false" ht="15" hidden="false" customHeight="false" outlineLevel="0" collapsed="false">
      <c r="A7" s="8" t="s">
        <v>23</v>
      </c>
      <c r="B7" s="9" t="n">
        <f aca="false">Model!E19</f>
        <v>-37.5</v>
      </c>
      <c r="C7" s="9" t="n">
        <f aca="false">Model!E42</f>
        <v>-22.5</v>
      </c>
      <c r="D7" s="9" t="n">
        <f aca="false">Model!E65</f>
        <v>0</v>
      </c>
    </row>
    <row r="8" customFormat="false" ht="15" hidden="false" customHeight="false" outlineLevel="0" collapsed="false">
      <c r="A8" s="8" t="s">
        <v>24</v>
      </c>
      <c r="B8" s="9" t="n">
        <f aca="false">Model!F19</f>
        <v>-123.374230769231</v>
      </c>
      <c r="C8" s="9" t="n">
        <f aca="false">Model!F42</f>
        <v>-68.9123076923077</v>
      </c>
      <c r="D8" s="9" t="n">
        <f aca="false">Model!F65</f>
        <v>74.5730769230769</v>
      </c>
    </row>
    <row r="9" customFormat="false" ht="30" hidden="false" customHeight="true" outlineLevel="0" collapsed="false">
      <c r="A9" s="10" t="s">
        <v>25</v>
      </c>
      <c r="B9" s="11" t="str">
        <f aca="false">IF(MAX(B5:B8)&lt;=0,"None pays back",INDEX($A$5:$A$8,MATCH(MAX(B5:B8),B5:B8,0)))</f>
        <v>None pays back</v>
      </c>
      <c r="C9" s="11" t="str">
        <f aca="false">IF(MAX(C5:C8)&lt;=0,"None pays back",INDEX($A$5:$A$8,MATCH(MAX(C5:C8),C5:C8,0)))</f>
        <v>None pays back</v>
      </c>
      <c r="D9" s="11" t="str">
        <f aca="false">IF(MAX(D5:D8)&lt;=0,"None pays back",INDEX($A$5:$A$8,MATCH(MAX(D5:D8),D5:D8,0)))</f>
        <v>D Recovery-led blend</v>
      </c>
    </row>
    <row r="11" customFormat="false" ht="15" hidden="false" customHeight="false" outlineLevel="0" collapsed="false">
      <c r="A11" s="6" t="s">
        <v>26</v>
      </c>
      <c r="B11" s="7" t="s">
        <v>18</v>
      </c>
      <c r="C11" s="7" t="s">
        <v>19</v>
      </c>
      <c r="D11" s="7" t="s">
        <v>20</v>
      </c>
    </row>
    <row r="12" customFormat="false" ht="15" hidden="false" customHeight="false" outlineLevel="0" collapsed="false">
      <c r="A12" s="8" t="s">
        <v>21</v>
      </c>
      <c r="B12" s="9" t="n">
        <f aca="false">Model!C17</f>
        <v>11.7628846153846</v>
      </c>
      <c r="C12" s="9" t="n">
        <f aca="false">Model!C40</f>
        <v>50.3861538461538</v>
      </c>
      <c r="D12" s="9" t="n">
        <f aca="false">Model!C63</f>
        <v>145.055769230769</v>
      </c>
    </row>
    <row r="13" customFormat="false" ht="15" hidden="false" customHeight="false" outlineLevel="0" collapsed="false">
      <c r="A13" s="8" t="s">
        <v>22</v>
      </c>
      <c r="B13" s="9" t="n">
        <f aca="false">Model!D17</f>
        <v>3.80769230769231</v>
      </c>
      <c r="C13" s="9" t="n">
        <f aca="false">Model!D40</f>
        <v>40.6153846153846</v>
      </c>
      <c r="D13" s="9" t="n">
        <f aca="false">Model!D63</f>
        <v>152.307692307692</v>
      </c>
    </row>
    <row r="14" customFormat="false" ht="15" hidden="false" customHeight="false" outlineLevel="0" collapsed="false">
      <c r="A14" s="8" t="s">
        <v>23</v>
      </c>
      <c r="B14" s="9" t="n">
        <f aca="false">Model!E17</f>
        <v>7.5</v>
      </c>
      <c r="C14" s="9" t="n">
        <f aca="false">Model!E40</f>
        <v>22.5</v>
      </c>
      <c r="D14" s="9" t="n">
        <f aca="false">Model!E63</f>
        <v>45</v>
      </c>
    </row>
    <row r="15" customFormat="false" ht="15" hidden="false" customHeight="false" outlineLevel="0" collapsed="false">
      <c r="A15" s="8" t="s">
        <v>24</v>
      </c>
      <c r="B15" s="9" t="n">
        <f aca="false">Model!F17</f>
        <v>11.6257692307692</v>
      </c>
      <c r="C15" s="9" t="n">
        <f aca="false">Model!F40</f>
        <v>66.0876923076923</v>
      </c>
      <c r="D15" s="9" t="n">
        <f aca="false">Model!F63</f>
        <v>209.573076923077</v>
      </c>
    </row>
    <row r="17" customFormat="false" ht="15" hidden="false" customHeight="false" outlineLevel="0" collapsed="false">
      <c r="A17" s="6" t="s">
        <v>27</v>
      </c>
      <c r="B17" s="7" t="s">
        <v>28</v>
      </c>
    </row>
    <row r="18" customFormat="false" ht="15" hidden="false" customHeight="false" outlineLevel="0" collapsed="false">
      <c r="A18" s="8" t="s">
        <v>21</v>
      </c>
      <c r="B18" s="9" t="n">
        <f aca="false">Inputs!C23</f>
        <v>150</v>
      </c>
    </row>
    <row r="19" customFormat="false" ht="15" hidden="false" customHeight="false" outlineLevel="0" collapsed="false">
      <c r="A19" s="8" t="s">
        <v>22</v>
      </c>
      <c r="B19" s="9" t="n">
        <f aca="false">Inputs!D23</f>
        <v>80</v>
      </c>
    </row>
    <row r="20" customFormat="false" ht="15" hidden="false" customHeight="false" outlineLevel="0" collapsed="false">
      <c r="A20" s="8" t="s">
        <v>23</v>
      </c>
      <c r="B20" s="9" t="n">
        <f aca="false">Inputs!E23</f>
        <v>45</v>
      </c>
    </row>
    <row r="21" customFormat="false" ht="15" hidden="false" customHeight="false" outlineLevel="0" collapsed="false">
      <c r="A21" s="8" t="s">
        <v>24</v>
      </c>
      <c r="B21" s="9" t="n">
        <f aca="false">Inputs!F23</f>
        <v>135</v>
      </c>
    </row>
    <row r="23" customFormat="false" ht="23.85" hidden="false" customHeight="false" outlineLevel="0" collapsed="false">
      <c r="A23" s="6" t="s">
        <v>29</v>
      </c>
      <c r="B23" s="7" t="s">
        <v>30</v>
      </c>
      <c r="C23" s="7" t="s">
        <v>31</v>
      </c>
    </row>
    <row r="24" customFormat="false" ht="15" hidden="false" customHeight="false" outlineLevel="0" collapsed="false">
      <c r="A24" s="8" t="s">
        <v>21</v>
      </c>
      <c r="B24" s="12" t="n">
        <f aca="false">Model!C45</f>
        <v>0.446551250343501</v>
      </c>
      <c r="C24" s="13" t="n">
        <f aca="false">Inputs!D6</f>
        <v>0.15</v>
      </c>
    </row>
    <row r="25" customFormat="false" ht="15" hidden="false" customHeight="false" outlineLevel="0" collapsed="false">
      <c r="A25" s="8" t="s">
        <v>22</v>
      </c>
      <c r="B25" s="12" t="n">
        <f aca="false">Model!D45</f>
        <v>0.343939393939394</v>
      </c>
      <c r="C25" s="13" t="n">
        <f aca="false">Inputs!D6</f>
        <v>0.15</v>
      </c>
    </row>
    <row r="26" customFormat="false" ht="15" hidden="false" customHeight="false" outlineLevel="0" collapsed="false">
      <c r="A26" s="8" t="s">
        <v>23</v>
      </c>
      <c r="B26" s="12" t="n">
        <f aca="false">Model!E45</f>
        <v>0.3</v>
      </c>
      <c r="C26" s="13" t="n">
        <f aca="false">Inputs!D6</f>
        <v>0.15</v>
      </c>
    </row>
    <row r="27" customFormat="false" ht="15" hidden="false" customHeight="false" outlineLevel="0" collapsed="false">
      <c r="A27" s="8" t="s">
        <v>24</v>
      </c>
      <c r="B27" s="12" t="n">
        <f aca="false">Model!F45</f>
        <v>0.334804851885469</v>
      </c>
      <c r="C27" s="13" t="n">
        <f aca="false">Inputs!D6</f>
        <v>0.15</v>
      </c>
    </row>
    <row r="28" customFormat="false" ht="15" hidden="false" customHeight="false" outlineLevel="0" collapsed="false">
      <c r="A28" s="5" t="s">
        <v>32</v>
      </c>
    </row>
    <row r="30" customFormat="false" ht="15" hidden="false" customHeight="false" outlineLevel="0" collapsed="false">
      <c r="A30" s="6" t="s">
        <v>33</v>
      </c>
      <c r="B30" s="7" t="s">
        <v>34</v>
      </c>
      <c r="C30" s="7" t="s">
        <v>35</v>
      </c>
      <c r="D30" s="7" t="s">
        <v>36</v>
      </c>
      <c r="E30" s="7" t="s">
        <v>37</v>
      </c>
      <c r="F30" s="7" t="s">
        <v>38</v>
      </c>
    </row>
    <row r="31" customFormat="false" ht="15" hidden="false" customHeight="false" outlineLevel="0" collapsed="false">
      <c r="A31" s="8" t="s">
        <v>39</v>
      </c>
      <c r="B31" s="9" t="n">
        <f aca="false">Model!B35</f>
        <v>1001.23076923077</v>
      </c>
      <c r="C31" s="9" t="n">
        <f aca="false">Model!C35</f>
        <v>950.461538461539</v>
      </c>
      <c r="D31" s="9" t="n">
        <f aca="false">Model!D35</f>
        <v>798.153846153846</v>
      </c>
      <c r="E31" s="9" t="n">
        <f aca="false">Model!E35</f>
        <v>851.230769230769</v>
      </c>
      <c r="F31" s="9" t="n">
        <f aca="false">Model!F35</f>
        <v>698.153846153846</v>
      </c>
    </row>
    <row r="32" customFormat="false" ht="15" hidden="false" customHeight="false" outlineLevel="0" collapsed="false">
      <c r="A32" s="8" t="s">
        <v>40</v>
      </c>
      <c r="C32" s="9" t="n">
        <f aca="false">Model!C44</f>
        <v>50.7692307692308</v>
      </c>
      <c r="D32" s="9" t="n">
        <f aca="false">Model!D44</f>
        <v>203.076923076923</v>
      </c>
      <c r="E32" s="9" t="n">
        <f aca="false">Model!E44</f>
        <v>150</v>
      </c>
      <c r="F32" s="9" t="n">
        <f aca="false">Model!F44</f>
        <v>303.076923076923</v>
      </c>
    </row>
    <row r="33" customFormat="false" ht="15" hidden="false" customHeight="false" outlineLevel="0" collapsed="false">
      <c r="A33" s="8" t="s">
        <v>41</v>
      </c>
      <c r="B33" s="13" t="n">
        <f aca="false">Model!B46</f>
        <v>0.400492307692308</v>
      </c>
      <c r="C33" s="13" t="n">
        <f aca="false">Model!C46</f>
        <v>0.380184615384615</v>
      </c>
      <c r="D33" s="13" t="n">
        <f aca="false">Model!D46</f>
        <v>0.319261538461538</v>
      </c>
      <c r="E33" s="13" t="n">
        <f aca="false">Model!E46</f>
        <v>0.340492307692308</v>
      </c>
      <c r="F33" s="13" t="n">
        <f aca="false">Model!F46</f>
        <v>0.279261538461538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4" t="s">
        <v>42</v>
      </c>
    </row>
    <row r="2" customFormat="false" ht="15" hidden="false" customHeight="false" outlineLevel="0" collapsed="false">
      <c r="A2" s="5" t="s">
        <v>43</v>
      </c>
    </row>
    <row r="4" customFormat="false" ht="15" hidden="false" customHeight="false" outlineLevel="0" collapsed="false">
      <c r="A4" s="6" t="s">
        <v>44</v>
      </c>
      <c r="B4" s="7" t="s">
        <v>45</v>
      </c>
      <c r="C4" s="7" t="s">
        <v>18</v>
      </c>
      <c r="D4" s="7" t="s">
        <v>19</v>
      </c>
      <c r="E4" s="7" t="s">
        <v>20</v>
      </c>
      <c r="F4" s="7"/>
      <c r="G4" s="14" t="s">
        <v>46</v>
      </c>
    </row>
    <row r="5" customFormat="false" ht="15" hidden="false" customHeight="false" outlineLevel="0" collapsed="false">
      <c r="A5" s="15" t="s">
        <v>44</v>
      </c>
      <c r="B5" s="16"/>
      <c r="C5" s="16"/>
      <c r="D5" s="16"/>
      <c r="E5" s="16"/>
      <c r="F5" s="16"/>
    </row>
    <row r="6" customFormat="false" ht="39.75" hidden="false" customHeight="true" outlineLevel="0" collapsed="false">
      <c r="A6" s="8" t="s">
        <v>47</v>
      </c>
      <c r="B6" s="8" t="s">
        <v>48</v>
      </c>
      <c r="C6" s="17" t="n">
        <v>0.05</v>
      </c>
      <c r="D6" s="17" t="n">
        <v>0.15</v>
      </c>
      <c r="E6" s="17" t="n">
        <v>0.3</v>
      </c>
      <c r="F6" s="3"/>
      <c r="G6" s="3" t="s">
        <v>49</v>
      </c>
    </row>
    <row r="7" customFormat="false" ht="39.75" hidden="false" customHeight="true" outlineLevel="0" collapsed="false">
      <c r="A7" s="8" t="s">
        <v>50</v>
      </c>
      <c r="B7" s="8" t="s">
        <v>48</v>
      </c>
      <c r="C7" s="18" t="n">
        <v>0</v>
      </c>
      <c r="D7" s="18" t="n">
        <v>0.05</v>
      </c>
      <c r="E7" s="18" t="n">
        <v>0.1</v>
      </c>
      <c r="F7" s="3"/>
      <c r="G7" s="3" t="s">
        <v>51</v>
      </c>
    </row>
    <row r="8" customFormat="false" ht="39.75" hidden="false" customHeight="true" outlineLevel="0" collapsed="false">
      <c r="A8" s="8" t="s">
        <v>52</v>
      </c>
      <c r="B8" s="8" t="s">
        <v>48</v>
      </c>
      <c r="C8" s="17" t="n">
        <v>0.15</v>
      </c>
      <c r="D8" s="17" t="n">
        <v>0.2</v>
      </c>
      <c r="E8" s="17" t="n">
        <v>0.25</v>
      </c>
      <c r="F8" s="3"/>
      <c r="G8" s="3" t="s">
        <v>53</v>
      </c>
    </row>
    <row r="9" customFormat="false" ht="39.75" hidden="false" customHeight="true" outlineLevel="0" collapsed="false">
      <c r="A9" s="8" t="s">
        <v>54</v>
      </c>
      <c r="B9" s="8" t="s">
        <v>55</v>
      </c>
      <c r="C9" s="19" t="n">
        <v>6.3</v>
      </c>
      <c r="D9" s="19" t="n">
        <v>7.3</v>
      </c>
      <c r="E9" s="19" t="n">
        <v>8.9</v>
      </c>
      <c r="F9" s="3"/>
      <c r="G9" s="3" t="s">
        <v>56</v>
      </c>
    </row>
    <row r="10" customFormat="false" ht="39.75" hidden="false" customHeight="true" outlineLevel="0" collapsed="false">
      <c r="A10" s="8" t="s">
        <v>57</v>
      </c>
      <c r="B10" s="8" t="s">
        <v>55</v>
      </c>
      <c r="C10" s="20" t="n">
        <v>1</v>
      </c>
      <c r="D10" s="20" t="n">
        <v>2</v>
      </c>
      <c r="E10" s="20" t="n">
        <v>3</v>
      </c>
      <c r="F10" s="3"/>
      <c r="G10" s="3" t="s">
        <v>58</v>
      </c>
    </row>
    <row r="12" customFormat="false" ht="15" hidden="false" customHeight="false" outlineLevel="0" collapsed="false">
      <c r="A12" s="15" t="s">
        <v>59</v>
      </c>
      <c r="B12" s="16"/>
      <c r="C12" s="16"/>
      <c r="D12" s="16"/>
      <c r="E12" s="16"/>
      <c r="F12" s="16"/>
    </row>
    <row r="13" customFormat="false" ht="30" hidden="false" customHeight="true" outlineLevel="0" collapsed="false">
      <c r="A13" s="8" t="s">
        <v>60</v>
      </c>
      <c r="B13" s="8" t="s">
        <v>61</v>
      </c>
      <c r="D13" s="21" t="n">
        <v>6600</v>
      </c>
      <c r="F13" s="3"/>
      <c r="G13" s="3" t="s">
        <v>62</v>
      </c>
    </row>
    <row r="14" customFormat="false" ht="30" hidden="false" customHeight="true" outlineLevel="0" collapsed="false">
      <c r="A14" s="8" t="s">
        <v>63</v>
      </c>
      <c r="B14" s="8" t="s">
        <v>55</v>
      </c>
      <c r="D14" s="22" t="n">
        <v>13</v>
      </c>
      <c r="F14" s="3"/>
      <c r="G14" s="3" t="s">
        <v>64</v>
      </c>
    </row>
    <row r="15" customFormat="false" ht="30" hidden="false" customHeight="true" outlineLevel="0" collapsed="false">
      <c r="A15" s="8" t="s">
        <v>65</v>
      </c>
      <c r="B15" s="8" t="s">
        <v>61</v>
      </c>
      <c r="D15" s="23" t="n">
        <f aca="false">D13/D14</f>
        <v>507.692307692308</v>
      </c>
      <c r="F15" s="3"/>
      <c r="G15" s="3" t="s">
        <v>66</v>
      </c>
    </row>
    <row r="16" customFormat="false" ht="30" hidden="false" customHeight="true" outlineLevel="0" collapsed="false">
      <c r="A16" s="8" t="s">
        <v>67</v>
      </c>
      <c r="B16" s="8" t="s">
        <v>61</v>
      </c>
      <c r="D16" s="24" t="n">
        <v>260</v>
      </c>
      <c r="F16" s="3"/>
      <c r="G16" s="3" t="s">
        <v>68</v>
      </c>
    </row>
    <row r="17" customFormat="false" ht="30" hidden="false" customHeight="true" outlineLevel="0" collapsed="false">
      <c r="A17" s="8" t="s">
        <v>69</v>
      </c>
      <c r="B17" s="8" t="s">
        <v>48</v>
      </c>
      <c r="D17" s="17" t="n">
        <v>0.33</v>
      </c>
      <c r="F17" s="3"/>
      <c r="G17" s="3" t="s">
        <v>70</v>
      </c>
    </row>
    <row r="18" customFormat="false" ht="30" hidden="false" customHeight="true" outlineLevel="0" collapsed="false">
      <c r="A18" s="8" t="s">
        <v>71</v>
      </c>
      <c r="B18" s="8" t="s">
        <v>61</v>
      </c>
      <c r="D18" s="21" t="n">
        <v>2500</v>
      </c>
      <c r="F18" s="3"/>
      <c r="G18" s="3" t="s">
        <v>72</v>
      </c>
    </row>
    <row r="19" customFormat="false" ht="30" hidden="false" customHeight="true" outlineLevel="0" collapsed="false">
      <c r="A19" s="8" t="s">
        <v>73</v>
      </c>
      <c r="B19" s="8" t="s">
        <v>61</v>
      </c>
      <c r="D19" s="21" t="n">
        <v>6900</v>
      </c>
      <c r="F19" s="3"/>
      <c r="G19" s="3" t="s">
        <v>74</v>
      </c>
    </row>
    <row r="21" customFormat="false" ht="23.85" hidden="false" customHeight="false" outlineLevel="0" collapsed="false">
      <c r="A21" s="6" t="s">
        <v>75</v>
      </c>
      <c r="B21" s="7" t="s">
        <v>45</v>
      </c>
      <c r="C21" s="7" t="s">
        <v>21</v>
      </c>
      <c r="D21" s="7" t="s">
        <v>22</v>
      </c>
      <c r="E21" s="7" t="s">
        <v>23</v>
      </c>
      <c r="F21" s="7" t="s">
        <v>24</v>
      </c>
      <c r="G21" s="7" t="s">
        <v>76</v>
      </c>
    </row>
    <row r="22" customFormat="false" ht="15" hidden="false" customHeight="false" outlineLevel="0" collapsed="false">
      <c r="A22" s="15" t="s">
        <v>77</v>
      </c>
      <c r="B22" s="16"/>
      <c r="C22" s="16"/>
      <c r="D22" s="16"/>
      <c r="E22" s="16"/>
      <c r="F22" s="16"/>
      <c r="G22" s="16"/>
    </row>
    <row r="23" customFormat="false" ht="51.75" hidden="false" customHeight="true" outlineLevel="0" collapsed="false">
      <c r="A23" s="8" t="s">
        <v>78</v>
      </c>
      <c r="B23" s="8" t="s">
        <v>61</v>
      </c>
      <c r="C23" s="24" t="n">
        <v>150</v>
      </c>
      <c r="D23" s="24" t="n">
        <v>80</v>
      </c>
      <c r="E23" s="24" t="n">
        <v>45</v>
      </c>
      <c r="F23" s="24" t="n">
        <v>135</v>
      </c>
      <c r="G23" s="3" t="s">
        <v>79</v>
      </c>
    </row>
    <row r="24" customFormat="false" ht="51.75" hidden="false" customHeight="true" outlineLevel="0" collapsed="false">
      <c r="A24" s="8" t="s">
        <v>80</v>
      </c>
      <c r="B24" s="8" t="s">
        <v>48</v>
      </c>
      <c r="C24" s="17" t="n">
        <v>0.3</v>
      </c>
      <c r="D24" s="17" t="n">
        <v>0</v>
      </c>
      <c r="E24" s="17" t="n">
        <v>0</v>
      </c>
      <c r="F24" s="17" t="n">
        <v>0.1</v>
      </c>
      <c r="G24" s="3" t="s">
        <v>81</v>
      </c>
    </row>
    <row r="25" customFormat="false" ht="51.75" hidden="false" customHeight="true" outlineLevel="0" collapsed="false">
      <c r="A25" s="8" t="s">
        <v>82</v>
      </c>
      <c r="B25" s="8" t="s">
        <v>48</v>
      </c>
      <c r="C25" s="17" t="n">
        <v>0.25</v>
      </c>
      <c r="D25" s="17" t="n">
        <v>1</v>
      </c>
      <c r="E25" s="17" t="n">
        <v>0</v>
      </c>
      <c r="F25" s="17" t="n">
        <v>1</v>
      </c>
      <c r="G25" s="3" t="s">
        <v>83</v>
      </c>
    </row>
    <row r="26" customFormat="false" ht="51.75" hidden="false" customHeight="true" outlineLevel="0" collapsed="false">
      <c r="A26" s="8" t="s">
        <v>84</v>
      </c>
      <c r="B26" s="8" t="s">
        <v>85</v>
      </c>
      <c r="C26" s="22" t="n">
        <v>0</v>
      </c>
      <c r="D26" s="22" t="n">
        <v>1</v>
      </c>
      <c r="E26" s="22" t="n">
        <v>0</v>
      </c>
      <c r="F26" s="22" t="n">
        <v>1</v>
      </c>
      <c r="G26" s="3" t="s">
        <v>86</v>
      </c>
    </row>
    <row r="27" customFormat="false" ht="51.75" hidden="false" customHeight="true" outlineLevel="0" collapsed="false">
      <c r="A27" s="8" t="s">
        <v>87</v>
      </c>
      <c r="B27" s="8" t="s">
        <v>61</v>
      </c>
      <c r="C27" s="21" t="n">
        <v>0</v>
      </c>
      <c r="D27" s="21" t="n">
        <v>0</v>
      </c>
      <c r="E27" s="21" t="n">
        <v>150</v>
      </c>
      <c r="F27" s="21" t="n">
        <v>100</v>
      </c>
      <c r="G27" s="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4" t="s">
        <v>89</v>
      </c>
    </row>
    <row r="2" customFormat="false" ht="15" hidden="false" customHeight="false" outlineLevel="0" collapsed="false">
      <c r="A2" s="5" t="s">
        <v>90</v>
      </c>
    </row>
    <row r="4" customFormat="false" ht="15" hidden="false" customHeight="false" outlineLevel="0" collapsed="false">
      <c r="A4" s="15" t="s">
        <v>91</v>
      </c>
      <c r="B4" s="16"/>
      <c r="C4" s="16"/>
      <c r="D4" s="16"/>
      <c r="E4" s="16"/>
      <c r="F4" s="16"/>
    </row>
    <row r="5" customFormat="false" ht="30" hidden="false" customHeight="true" outlineLevel="0" collapsed="false">
      <c r="A5" s="6" t="s">
        <v>92</v>
      </c>
      <c r="B5" s="7" t="s">
        <v>34</v>
      </c>
      <c r="C5" s="7" t="s">
        <v>21</v>
      </c>
      <c r="D5" s="7" t="s">
        <v>22</v>
      </c>
      <c r="E5" s="7" t="s">
        <v>23</v>
      </c>
      <c r="F5" s="7" t="s">
        <v>24</v>
      </c>
    </row>
    <row r="6" customFormat="false" ht="15" hidden="false" customHeight="false" outlineLevel="0" collapsed="false">
      <c r="A6" s="8" t="s">
        <v>93</v>
      </c>
      <c r="B6" s="25" t="n">
        <f aca="false">Inputs!C$6</f>
        <v>0.05</v>
      </c>
      <c r="C6" s="26" t="n">
        <f aca="false">Inputs!C$6*(1-Inputs!C$24)</f>
        <v>0.035</v>
      </c>
      <c r="D6" s="26" t="n">
        <f aca="false">Inputs!C$6*(1-Inputs!D$24)</f>
        <v>0.05</v>
      </c>
      <c r="E6" s="26" t="n">
        <f aca="false">Inputs!C$6*(1-Inputs!E$24)</f>
        <v>0.05</v>
      </c>
      <c r="F6" s="26" t="n">
        <f aca="false">Inputs!C$6*(1-Inputs!F$24)</f>
        <v>0.045</v>
      </c>
    </row>
    <row r="7" customFormat="false" ht="15" hidden="false" customHeight="false" outlineLevel="0" collapsed="false">
      <c r="A7" s="8" t="s">
        <v>94</v>
      </c>
      <c r="B7" s="27" t="n">
        <f aca="false">Inputs!C$9</f>
        <v>6.3</v>
      </c>
      <c r="C7" s="28" t="n">
        <f aca="false">Inputs!C$9-Inputs!C$10*Inputs!C$25</f>
        <v>6.05</v>
      </c>
      <c r="D7" s="28" t="n">
        <f aca="false">Inputs!C$9-Inputs!C$10*Inputs!D$25</f>
        <v>5.3</v>
      </c>
      <c r="E7" s="28" t="n">
        <f aca="false">Inputs!C$9-Inputs!C$10*Inputs!E$25</f>
        <v>6.3</v>
      </c>
      <c r="F7" s="28" t="n">
        <f aca="false">Inputs!C$9-Inputs!C$10*Inputs!F$25</f>
        <v>5.3</v>
      </c>
    </row>
    <row r="8" customFormat="false" ht="15" hidden="false" customHeight="false" outlineLevel="0" collapsed="false">
      <c r="A8" s="8" t="s">
        <v>95</v>
      </c>
      <c r="B8" s="23" t="n">
        <f aca="false">B7*Inputs!$D$15*Inputs!C$8</f>
        <v>479.769230769231</v>
      </c>
      <c r="C8" s="23" t="n">
        <f aca="false">C7*Inputs!$D$15*Inputs!C$8</f>
        <v>460.730769230769</v>
      </c>
      <c r="D8" s="23" t="n">
        <f aca="false">D7*Inputs!$D$15*Inputs!C$8</f>
        <v>403.615384615385</v>
      </c>
      <c r="E8" s="23" t="n">
        <f aca="false">E7*Inputs!$D$15*Inputs!C$8</f>
        <v>479.769230769231</v>
      </c>
      <c r="F8" s="23" t="n">
        <f aca="false">F7*Inputs!$D$15*Inputs!C$8</f>
        <v>403.615384615385</v>
      </c>
    </row>
    <row r="9" customFormat="false" ht="15" hidden="false" customHeight="false" outlineLevel="0" collapsed="false">
      <c r="A9" s="8" t="s">
        <v>96</v>
      </c>
      <c r="B9" s="29" t="n">
        <f aca="false">Inputs!$D$16</f>
        <v>260</v>
      </c>
      <c r="C9" s="29" t="n">
        <f aca="false">Inputs!$D$16</f>
        <v>260</v>
      </c>
      <c r="D9" s="29" t="n">
        <f aca="false">Inputs!$D$16</f>
        <v>260</v>
      </c>
      <c r="E9" s="29" t="n">
        <f aca="false">Inputs!$D$16</f>
        <v>260</v>
      </c>
      <c r="F9" s="29" t="n">
        <f aca="false">Inputs!$D$16</f>
        <v>260</v>
      </c>
    </row>
    <row r="10" customFormat="false" ht="15" hidden="false" customHeight="false" outlineLevel="0" collapsed="false">
      <c r="A10" s="8" t="s">
        <v>97</v>
      </c>
      <c r="B10" s="23" t="n">
        <f aca="false">B8+B9</f>
        <v>739.769230769231</v>
      </c>
      <c r="C10" s="23" t="n">
        <f aca="false">C8+C9</f>
        <v>720.730769230769</v>
      </c>
      <c r="D10" s="23" t="n">
        <f aca="false">D8+D9</f>
        <v>663.615384615385</v>
      </c>
      <c r="E10" s="23" t="n">
        <f aca="false">E8+E9</f>
        <v>739.769230769231</v>
      </c>
      <c r="F10" s="23" t="n">
        <f aca="false">F8+F9</f>
        <v>663.615384615385</v>
      </c>
    </row>
    <row r="11" customFormat="false" ht="15" hidden="false" customHeight="false" outlineLevel="0" collapsed="false">
      <c r="A11" s="8" t="s">
        <v>98</v>
      </c>
      <c r="B11" s="23" t="n">
        <v>0</v>
      </c>
      <c r="C11" s="23" t="n">
        <f aca="false">MIN(Inputs!C$27,Inputs!$D$17*C10)</f>
        <v>0</v>
      </c>
      <c r="D11" s="23" t="n">
        <f aca="false">MIN(Inputs!D$27,Inputs!$D$17*D10)</f>
        <v>0</v>
      </c>
      <c r="E11" s="23" t="n">
        <f aca="false">MIN(Inputs!E$27,Inputs!$D$17*E10)</f>
        <v>150</v>
      </c>
      <c r="F11" s="23" t="n">
        <f aca="false">MIN(Inputs!F$27,Inputs!$D$17*F10)</f>
        <v>100</v>
      </c>
    </row>
    <row r="12" customFormat="false" ht="15" hidden="false" customHeight="false" outlineLevel="0" collapsed="false">
      <c r="A12" s="8" t="s">
        <v>39</v>
      </c>
      <c r="B12" s="23" t="n">
        <f aca="false">B10-B11</f>
        <v>739.769230769231</v>
      </c>
      <c r="C12" s="23" t="n">
        <f aca="false">C10-C11</f>
        <v>720.730769230769</v>
      </c>
      <c r="D12" s="23" t="n">
        <f aca="false">D10-D11</f>
        <v>663.615384615385</v>
      </c>
      <c r="E12" s="23" t="n">
        <f aca="false">E10-E11</f>
        <v>589.769230769231</v>
      </c>
      <c r="F12" s="23" t="n">
        <f aca="false">F10-F11</f>
        <v>563.615384615385</v>
      </c>
    </row>
    <row r="13" customFormat="false" ht="15" hidden="false" customHeight="false" outlineLevel="0" collapsed="false">
      <c r="A13" s="8" t="s">
        <v>99</v>
      </c>
      <c r="B13" s="23" t="n">
        <f aca="false">B6*B12</f>
        <v>36.9884615384615</v>
      </c>
      <c r="C13" s="23" t="n">
        <f aca="false">C6*C12</f>
        <v>25.2255769230769</v>
      </c>
      <c r="D13" s="23" t="n">
        <f aca="false">D6*D12</f>
        <v>33.1807692307692</v>
      </c>
      <c r="E13" s="23" t="n">
        <f aca="false">E6*E12</f>
        <v>29.4884615384615</v>
      </c>
      <c r="F13" s="23" t="n">
        <f aca="false">F6*F12</f>
        <v>25.3626923076923</v>
      </c>
    </row>
    <row r="14" customFormat="false" ht="15" hidden="false" customHeight="false" outlineLevel="0" collapsed="false">
      <c r="A14" s="8" t="s">
        <v>100</v>
      </c>
      <c r="B14" s="27" t="n">
        <f aca="false">Inputs!C$9</f>
        <v>6.3</v>
      </c>
      <c r="C14" s="28" t="n">
        <f aca="false">Inputs!C$9-Inputs!C$10*Inputs!C$25*Inputs!C$26</f>
        <v>6.3</v>
      </c>
      <c r="D14" s="28" t="n">
        <f aca="false">Inputs!C$9-Inputs!C$10*Inputs!D$25*Inputs!D$26</f>
        <v>5.3</v>
      </c>
      <c r="E14" s="28" t="n">
        <f aca="false">Inputs!C$9-Inputs!C$10*Inputs!E$25*Inputs!E$26</f>
        <v>6.3</v>
      </c>
      <c r="F14" s="28" t="n">
        <f aca="false">Inputs!C$9-Inputs!C$10*Inputs!F$25*Inputs!F$26</f>
        <v>5.3</v>
      </c>
    </row>
    <row r="15" customFormat="false" ht="15" hidden="false" customHeight="false" outlineLevel="0" collapsed="false">
      <c r="A15" s="8" t="s">
        <v>101</v>
      </c>
      <c r="B15" s="23" t="n">
        <f aca="false">Inputs!C$7*B14*Inputs!$D$15*Inputs!C$8</f>
        <v>0</v>
      </c>
      <c r="C15" s="23" t="n">
        <f aca="false">Inputs!C$7*C14*Inputs!$D$15*Inputs!C$8</f>
        <v>0</v>
      </c>
      <c r="D15" s="23" t="n">
        <f aca="false">Inputs!C$7*D14*Inputs!$D$15*Inputs!C$8</f>
        <v>0</v>
      </c>
      <c r="E15" s="23" t="n">
        <f aca="false">Inputs!C$7*E14*Inputs!$D$15*Inputs!C$8</f>
        <v>0</v>
      </c>
      <c r="F15" s="23" t="n">
        <f aca="false">Inputs!C$7*F14*Inputs!$D$15*Inputs!C$8</f>
        <v>0</v>
      </c>
    </row>
    <row r="16" customFormat="false" ht="15" hidden="false" customHeight="false" outlineLevel="0" collapsed="false">
      <c r="A16" s="8" t="s">
        <v>102</v>
      </c>
      <c r="B16" s="23" t="n">
        <f aca="false">B13+B15</f>
        <v>36.9884615384615</v>
      </c>
      <c r="C16" s="23" t="n">
        <f aca="false">C13+C15</f>
        <v>25.2255769230769</v>
      </c>
      <c r="D16" s="23" t="n">
        <f aca="false">D13+D15</f>
        <v>33.1807692307692</v>
      </c>
      <c r="E16" s="23" t="n">
        <f aca="false">E13+E15</f>
        <v>29.4884615384615</v>
      </c>
      <c r="F16" s="23" t="n">
        <f aca="false">F13+F15</f>
        <v>25.3626923076923</v>
      </c>
    </row>
    <row r="17" customFormat="false" ht="15" hidden="false" customHeight="false" outlineLevel="0" collapsed="false">
      <c r="A17" s="8" t="s">
        <v>103</v>
      </c>
      <c r="B17" s="23"/>
      <c r="C17" s="23" t="n">
        <f aca="false">$B16-C16</f>
        <v>11.7628846153846</v>
      </c>
      <c r="D17" s="23" t="n">
        <f aca="false">$B16-D16</f>
        <v>3.80769230769231</v>
      </c>
      <c r="E17" s="23" t="n">
        <f aca="false">$B16-E16</f>
        <v>7.5</v>
      </c>
      <c r="F17" s="23" t="n">
        <f aca="false">$B16-F16</f>
        <v>11.6257692307692</v>
      </c>
    </row>
    <row r="18" customFormat="false" ht="15" hidden="false" customHeight="false" outlineLevel="0" collapsed="false">
      <c r="A18" s="8" t="s">
        <v>78</v>
      </c>
      <c r="B18" s="23" t="n">
        <v>0</v>
      </c>
      <c r="C18" s="29" t="n">
        <f aca="false">Inputs!C$23</f>
        <v>150</v>
      </c>
      <c r="D18" s="29" t="n">
        <f aca="false">Inputs!D$23</f>
        <v>80</v>
      </c>
      <c r="E18" s="29" t="n">
        <f aca="false">Inputs!E$23</f>
        <v>45</v>
      </c>
      <c r="F18" s="29" t="n">
        <f aca="false">Inputs!F$23</f>
        <v>135</v>
      </c>
    </row>
    <row r="19" customFormat="false" ht="15" hidden="false" customHeight="false" outlineLevel="0" collapsed="false">
      <c r="A19" s="15" t="s">
        <v>104</v>
      </c>
      <c r="B19" s="30"/>
      <c r="C19" s="30" t="n">
        <f aca="false">C17-C18</f>
        <v>-138.237115384615</v>
      </c>
      <c r="D19" s="30" t="n">
        <f aca="false">D17-D18</f>
        <v>-76.1923076923077</v>
      </c>
      <c r="E19" s="30" t="n">
        <f aca="false">E17-E18</f>
        <v>-37.5</v>
      </c>
      <c r="F19" s="30" t="n">
        <f aca="false">F17-F18</f>
        <v>-123.374230769231</v>
      </c>
    </row>
    <row r="20" customFormat="false" ht="15" hidden="false" customHeight="false" outlineLevel="0" collapsed="false">
      <c r="A20" s="8" t="s">
        <v>105</v>
      </c>
      <c r="B20" s="31"/>
      <c r="C20" s="31" t="n">
        <f aca="false">IF(C18=0,"n/a",C17/C18)</f>
        <v>0.0784192307692308</v>
      </c>
      <c r="D20" s="31" t="n">
        <f aca="false">IF(D18=0,"n/a",D17/D18)</f>
        <v>0.0475961538461538</v>
      </c>
      <c r="E20" s="31" t="n">
        <f aca="false">IF(E18=0,"n/a",E17/E18)</f>
        <v>0.166666666666667</v>
      </c>
      <c r="F20" s="31" t="n">
        <f aca="false">IF(F18=0,"n/a",F17/F18)</f>
        <v>0.0861168091168091</v>
      </c>
    </row>
    <row r="21" customFormat="false" ht="15" hidden="false" customHeight="false" outlineLevel="0" collapsed="false">
      <c r="A21" s="8" t="s">
        <v>106</v>
      </c>
      <c r="B21" s="23"/>
      <c r="C21" s="23" t="n">
        <f aca="false">$B12-C12</f>
        <v>19.0384615384614</v>
      </c>
      <c r="D21" s="23" t="n">
        <f aca="false">$B12-D12</f>
        <v>76.1538461538462</v>
      </c>
      <c r="E21" s="23" t="n">
        <f aca="false">$B12-E12</f>
        <v>150</v>
      </c>
      <c r="F21" s="23" t="n">
        <f aca="false">$B12-F12</f>
        <v>176.153846153846</v>
      </c>
    </row>
    <row r="22" customFormat="false" ht="15" hidden="false" customHeight="false" outlineLevel="0" collapsed="false">
      <c r="A22" s="8" t="s">
        <v>107</v>
      </c>
      <c r="B22" s="26"/>
      <c r="C22" s="26" t="n">
        <f aca="false">IF(($B12-(1-Inputs!C$24)*C12)&lt;=0,"n/a",MAX(0,C18-($B15-C15))/($B12-(1-Inputs!C$24)*C12))</f>
        <v>0.637598705184168</v>
      </c>
      <c r="D22" s="26" t="n">
        <f aca="false">IF(($B12-(1-Inputs!D$24)*D12)&lt;=0,"n/a",MAX(0,D18-($B15-D15))/($B12-(1-Inputs!D$24)*D12))</f>
        <v>1.05050505050505</v>
      </c>
      <c r="E22" s="26" t="n">
        <f aca="false">IF(($B12-(1-Inputs!E$24)*E12)&lt;=0,"n/a",MAX(0,E18-($B15-E15))/($B12-(1-Inputs!E$24)*E12))</f>
        <v>0.3</v>
      </c>
      <c r="F22" s="26" t="n">
        <f aca="false">IF(($B12-(1-Inputs!F$24)*F12)&lt;=0,"n/a",MAX(0,F18-($B15-F15))/($B12-(1-Inputs!F$24)*F12))</f>
        <v>0.580606742316472</v>
      </c>
    </row>
    <row r="23" customFormat="false" ht="15" hidden="false" customHeight="false" outlineLevel="0" collapsed="false">
      <c r="A23" s="8" t="s">
        <v>41</v>
      </c>
      <c r="B23" s="32" t="n">
        <f aca="false">B12/Inputs!$D$18</f>
        <v>0.295907692307692</v>
      </c>
      <c r="C23" s="32" t="n">
        <f aca="false">C12/Inputs!$D$18</f>
        <v>0.288292307692308</v>
      </c>
      <c r="D23" s="32" t="n">
        <f aca="false">D12/Inputs!$D$18</f>
        <v>0.265446153846154</v>
      </c>
      <c r="E23" s="32" t="n">
        <f aca="false">E12/Inputs!$D$18</f>
        <v>0.235907692307692</v>
      </c>
      <c r="F23" s="32" t="n">
        <f aca="false">F12/Inputs!$D$18</f>
        <v>0.225446153846154</v>
      </c>
    </row>
    <row r="27" customFormat="false" ht="15" hidden="false" customHeight="false" outlineLevel="0" collapsed="false">
      <c r="A27" s="15" t="s">
        <v>108</v>
      </c>
      <c r="B27" s="16"/>
      <c r="C27" s="16"/>
      <c r="D27" s="16"/>
      <c r="E27" s="16"/>
      <c r="F27" s="16"/>
    </row>
    <row r="28" customFormat="false" ht="30" hidden="false" customHeight="true" outlineLevel="0" collapsed="false">
      <c r="A28" s="6" t="s">
        <v>92</v>
      </c>
      <c r="B28" s="7" t="s">
        <v>34</v>
      </c>
      <c r="C28" s="7" t="s">
        <v>21</v>
      </c>
      <c r="D28" s="7" t="s">
        <v>22</v>
      </c>
      <c r="E28" s="7" t="s">
        <v>23</v>
      </c>
      <c r="F28" s="7" t="s">
        <v>24</v>
      </c>
    </row>
    <row r="29" customFormat="false" ht="15" hidden="false" customHeight="false" outlineLevel="0" collapsed="false">
      <c r="A29" s="8" t="s">
        <v>93</v>
      </c>
      <c r="B29" s="25" t="n">
        <f aca="false">Inputs!D$6</f>
        <v>0.15</v>
      </c>
      <c r="C29" s="26" t="n">
        <f aca="false">Inputs!D$6*(1-Inputs!C$24)</f>
        <v>0.105</v>
      </c>
      <c r="D29" s="26" t="n">
        <f aca="false">Inputs!D$6*(1-Inputs!D$24)</f>
        <v>0.15</v>
      </c>
      <c r="E29" s="26" t="n">
        <f aca="false">Inputs!D$6*(1-Inputs!E$24)</f>
        <v>0.15</v>
      </c>
      <c r="F29" s="26" t="n">
        <f aca="false">Inputs!D$6*(1-Inputs!F$24)</f>
        <v>0.135</v>
      </c>
    </row>
    <row r="30" customFormat="false" ht="15" hidden="false" customHeight="false" outlineLevel="0" collapsed="false">
      <c r="A30" s="8" t="s">
        <v>94</v>
      </c>
      <c r="B30" s="27" t="n">
        <f aca="false">Inputs!D$9</f>
        <v>7.3</v>
      </c>
      <c r="C30" s="28" t="n">
        <f aca="false">Inputs!D$9-Inputs!D$10*Inputs!C$25</f>
        <v>6.8</v>
      </c>
      <c r="D30" s="28" t="n">
        <f aca="false">Inputs!D$9-Inputs!D$10*Inputs!D$25</f>
        <v>5.3</v>
      </c>
      <c r="E30" s="28" t="n">
        <f aca="false">Inputs!D$9-Inputs!D$10*Inputs!E$25</f>
        <v>7.3</v>
      </c>
      <c r="F30" s="28" t="n">
        <f aca="false">Inputs!D$9-Inputs!D$10*Inputs!F$25</f>
        <v>5.3</v>
      </c>
    </row>
    <row r="31" customFormat="false" ht="15" hidden="false" customHeight="false" outlineLevel="0" collapsed="false">
      <c r="A31" s="8" t="s">
        <v>95</v>
      </c>
      <c r="B31" s="23" t="n">
        <f aca="false">B30*Inputs!$D$15*Inputs!D$8</f>
        <v>741.230769230769</v>
      </c>
      <c r="C31" s="23" t="n">
        <f aca="false">C30*Inputs!$D$15*Inputs!D$8</f>
        <v>690.461538461539</v>
      </c>
      <c r="D31" s="23" t="n">
        <f aca="false">D30*Inputs!$D$15*Inputs!D$8</f>
        <v>538.153846153846</v>
      </c>
      <c r="E31" s="23" t="n">
        <f aca="false">E30*Inputs!$D$15*Inputs!D$8</f>
        <v>741.230769230769</v>
      </c>
      <c r="F31" s="23" t="n">
        <f aca="false">F30*Inputs!$D$15*Inputs!D$8</f>
        <v>538.153846153846</v>
      </c>
    </row>
    <row r="32" customFormat="false" ht="15" hidden="false" customHeight="false" outlineLevel="0" collapsed="false">
      <c r="A32" s="8" t="s">
        <v>96</v>
      </c>
      <c r="B32" s="29" t="n">
        <f aca="false">Inputs!$D$16</f>
        <v>260</v>
      </c>
      <c r="C32" s="29" t="n">
        <f aca="false">Inputs!$D$16</f>
        <v>260</v>
      </c>
      <c r="D32" s="29" t="n">
        <f aca="false">Inputs!$D$16</f>
        <v>260</v>
      </c>
      <c r="E32" s="29" t="n">
        <f aca="false">Inputs!$D$16</f>
        <v>260</v>
      </c>
      <c r="F32" s="29" t="n">
        <f aca="false">Inputs!$D$16</f>
        <v>260</v>
      </c>
    </row>
    <row r="33" customFormat="false" ht="15" hidden="false" customHeight="false" outlineLevel="0" collapsed="false">
      <c r="A33" s="8" t="s">
        <v>97</v>
      </c>
      <c r="B33" s="23" t="n">
        <f aca="false">B31+B32</f>
        <v>1001.23076923077</v>
      </c>
      <c r="C33" s="23" t="n">
        <f aca="false">C31+C32</f>
        <v>950.461538461539</v>
      </c>
      <c r="D33" s="23" t="n">
        <f aca="false">D31+D32</f>
        <v>798.153846153846</v>
      </c>
      <c r="E33" s="23" t="n">
        <f aca="false">E31+E32</f>
        <v>1001.23076923077</v>
      </c>
      <c r="F33" s="23" t="n">
        <f aca="false">F31+F32</f>
        <v>798.153846153846</v>
      </c>
    </row>
    <row r="34" customFormat="false" ht="15" hidden="false" customHeight="false" outlineLevel="0" collapsed="false">
      <c r="A34" s="8" t="s">
        <v>98</v>
      </c>
      <c r="B34" s="23" t="n">
        <v>0</v>
      </c>
      <c r="C34" s="23" t="n">
        <f aca="false">MIN(Inputs!C$27,Inputs!$D$17*C33)</f>
        <v>0</v>
      </c>
      <c r="D34" s="23" t="n">
        <f aca="false">MIN(Inputs!D$27,Inputs!$D$17*D33)</f>
        <v>0</v>
      </c>
      <c r="E34" s="23" t="n">
        <f aca="false">MIN(Inputs!E$27,Inputs!$D$17*E33)</f>
        <v>150</v>
      </c>
      <c r="F34" s="23" t="n">
        <f aca="false">MIN(Inputs!F$27,Inputs!$D$17*F33)</f>
        <v>100</v>
      </c>
    </row>
    <row r="35" customFormat="false" ht="15" hidden="false" customHeight="false" outlineLevel="0" collapsed="false">
      <c r="A35" s="8" t="s">
        <v>39</v>
      </c>
      <c r="B35" s="23" t="n">
        <f aca="false">B33-B34</f>
        <v>1001.23076923077</v>
      </c>
      <c r="C35" s="23" t="n">
        <f aca="false">C33-C34</f>
        <v>950.461538461539</v>
      </c>
      <c r="D35" s="23" t="n">
        <f aca="false">D33-D34</f>
        <v>798.153846153846</v>
      </c>
      <c r="E35" s="23" t="n">
        <f aca="false">E33-E34</f>
        <v>851.230769230769</v>
      </c>
      <c r="F35" s="23" t="n">
        <f aca="false">F33-F34</f>
        <v>698.153846153846</v>
      </c>
    </row>
    <row r="36" customFormat="false" ht="15" hidden="false" customHeight="false" outlineLevel="0" collapsed="false">
      <c r="A36" s="8" t="s">
        <v>99</v>
      </c>
      <c r="B36" s="23" t="n">
        <f aca="false">B29*B35</f>
        <v>150.184615384615</v>
      </c>
      <c r="C36" s="23" t="n">
        <f aca="false">C29*C35</f>
        <v>99.7984615384615</v>
      </c>
      <c r="D36" s="23" t="n">
        <f aca="false">D29*D35</f>
        <v>119.723076923077</v>
      </c>
      <c r="E36" s="23" t="n">
        <f aca="false">E29*E35</f>
        <v>127.684615384615</v>
      </c>
      <c r="F36" s="23" t="n">
        <f aca="false">F29*F35</f>
        <v>94.2507692307692</v>
      </c>
    </row>
    <row r="37" customFormat="false" ht="15" hidden="false" customHeight="false" outlineLevel="0" collapsed="false">
      <c r="A37" s="8" t="s">
        <v>100</v>
      </c>
      <c r="B37" s="27" t="n">
        <f aca="false">Inputs!D$9</f>
        <v>7.3</v>
      </c>
      <c r="C37" s="28" t="n">
        <f aca="false">Inputs!D$9-Inputs!D$10*Inputs!C$25*Inputs!C$26</f>
        <v>7.3</v>
      </c>
      <c r="D37" s="28" t="n">
        <f aca="false">Inputs!D$9-Inputs!D$10*Inputs!D$25*Inputs!D$26</f>
        <v>5.3</v>
      </c>
      <c r="E37" s="28" t="n">
        <f aca="false">Inputs!D$9-Inputs!D$10*Inputs!E$25*Inputs!E$26</f>
        <v>7.3</v>
      </c>
      <c r="F37" s="28" t="n">
        <f aca="false">Inputs!D$9-Inputs!D$10*Inputs!F$25*Inputs!F$26</f>
        <v>5.3</v>
      </c>
    </row>
    <row r="38" customFormat="false" ht="15" hidden="false" customHeight="false" outlineLevel="0" collapsed="false">
      <c r="A38" s="8" t="s">
        <v>101</v>
      </c>
      <c r="B38" s="23" t="n">
        <f aca="false">Inputs!D$7*B37*Inputs!$D$15*Inputs!D$8</f>
        <v>37.0615384615385</v>
      </c>
      <c r="C38" s="23" t="n">
        <f aca="false">Inputs!D$7*C37*Inputs!$D$15*Inputs!D$8</f>
        <v>37.0615384615385</v>
      </c>
      <c r="D38" s="23" t="n">
        <f aca="false">Inputs!D$7*D37*Inputs!$D$15*Inputs!D$8</f>
        <v>26.9076923076923</v>
      </c>
      <c r="E38" s="23" t="n">
        <f aca="false">Inputs!D$7*E37*Inputs!$D$15*Inputs!D$8</f>
        <v>37.0615384615385</v>
      </c>
      <c r="F38" s="23" t="n">
        <f aca="false">Inputs!D$7*F37*Inputs!$D$15*Inputs!D$8</f>
        <v>26.9076923076923</v>
      </c>
    </row>
    <row r="39" customFormat="false" ht="15" hidden="false" customHeight="false" outlineLevel="0" collapsed="false">
      <c r="A39" s="8" t="s">
        <v>102</v>
      </c>
      <c r="B39" s="23" t="n">
        <f aca="false">B36+B38</f>
        <v>187.246153846154</v>
      </c>
      <c r="C39" s="23" t="n">
        <f aca="false">C36+C38</f>
        <v>136.86</v>
      </c>
      <c r="D39" s="23" t="n">
        <f aca="false">D36+D38</f>
        <v>146.630769230769</v>
      </c>
      <c r="E39" s="23" t="n">
        <f aca="false">E36+E38</f>
        <v>164.746153846154</v>
      </c>
      <c r="F39" s="23" t="n">
        <f aca="false">F36+F38</f>
        <v>121.158461538462</v>
      </c>
    </row>
    <row r="40" customFormat="false" ht="15" hidden="false" customHeight="false" outlineLevel="0" collapsed="false">
      <c r="A40" s="8" t="s">
        <v>103</v>
      </c>
      <c r="B40" s="23"/>
      <c r="C40" s="23" t="n">
        <f aca="false">$B39-C39</f>
        <v>50.3861538461538</v>
      </c>
      <c r="D40" s="23" t="n">
        <f aca="false">$B39-D39</f>
        <v>40.6153846153846</v>
      </c>
      <c r="E40" s="23" t="n">
        <f aca="false">$B39-E39</f>
        <v>22.5</v>
      </c>
      <c r="F40" s="23" t="n">
        <f aca="false">$B39-F39</f>
        <v>66.0876923076923</v>
      </c>
    </row>
    <row r="41" customFormat="false" ht="15" hidden="false" customHeight="false" outlineLevel="0" collapsed="false">
      <c r="A41" s="8" t="s">
        <v>78</v>
      </c>
      <c r="B41" s="23" t="n">
        <v>0</v>
      </c>
      <c r="C41" s="29" t="n">
        <f aca="false">Inputs!C$23</f>
        <v>150</v>
      </c>
      <c r="D41" s="29" t="n">
        <f aca="false">Inputs!D$23</f>
        <v>80</v>
      </c>
      <c r="E41" s="29" t="n">
        <f aca="false">Inputs!E$23</f>
        <v>45</v>
      </c>
      <c r="F41" s="29" t="n">
        <f aca="false">Inputs!F$23</f>
        <v>135</v>
      </c>
    </row>
    <row r="42" customFormat="false" ht="15" hidden="false" customHeight="false" outlineLevel="0" collapsed="false">
      <c r="A42" s="15" t="s">
        <v>104</v>
      </c>
      <c r="B42" s="30"/>
      <c r="C42" s="30" t="n">
        <f aca="false">C40-C41</f>
        <v>-99.6138461538462</v>
      </c>
      <c r="D42" s="30" t="n">
        <f aca="false">D40-D41</f>
        <v>-39.3846153846154</v>
      </c>
      <c r="E42" s="30" t="n">
        <f aca="false">E40-E41</f>
        <v>-22.5</v>
      </c>
      <c r="F42" s="30" t="n">
        <f aca="false">F40-F41</f>
        <v>-68.9123076923077</v>
      </c>
    </row>
    <row r="43" customFormat="false" ht="15" hidden="false" customHeight="false" outlineLevel="0" collapsed="false">
      <c r="A43" s="8" t="s">
        <v>105</v>
      </c>
      <c r="B43" s="31"/>
      <c r="C43" s="31" t="n">
        <f aca="false">IF(C41=0,"n/a",C40/C41)</f>
        <v>0.335907692307692</v>
      </c>
      <c r="D43" s="31" t="n">
        <f aca="false">IF(D41=0,"n/a",D40/D41)</f>
        <v>0.507692307692308</v>
      </c>
      <c r="E43" s="31" t="n">
        <f aca="false">IF(E41=0,"n/a",E40/E41)</f>
        <v>0.5</v>
      </c>
      <c r="F43" s="31" t="n">
        <f aca="false">IF(F41=0,"n/a",F40/F41)</f>
        <v>0.489538461538462</v>
      </c>
    </row>
    <row r="44" customFormat="false" ht="15" hidden="false" customHeight="false" outlineLevel="0" collapsed="false">
      <c r="A44" s="8" t="s">
        <v>106</v>
      </c>
      <c r="B44" s="23"/>
      <c r="C44" s="23" t="n">
        <f aca="false">$B35-C35</f>
        <v>50.7692307692308</v>
      </c>
      <c r="D44" s="23" t="n">
        <f aca="false">$B35-D35</f>
        <v>203.076923076923</v>
      </c>
      <c r="E44" s="23" t="n">
        <f aca="false">$B35-E35</f>
        <v>150</v>
      </c>
      <c r="F44" s="23" t="n">
        <f aca="false">$B35-F35</f>
        <v>303.076923076923</v>
      </c>
    </row>
    <row r="45" customFormat="false" ht="15" hidden="false" customHeight="false" outlineLevel="0" collapsed="false">
      <c r="A45" s="8" t="s">
        <v>107</v>
      </c>
      <c r="B45" s="26"/>
      <c r="C45" s="26" t="n">
        <f aca="false">IF(($B35-(1-Inputs!C$24)*C35)&lt;=0,"n/a",MAX(0,C41-($B38-C38))/($B35-(1-Inputs!C$24)*C35))</f>
        <v>0.446551250343501</v>
      </c>
      <c r="D45" s="26" t="n">
        <f aca="false">IF(($B35-(1-Inputs!D$24)*D35)&lt;=0,"n/a",MAX(0,D41-($B38-D38))/($B35-(1-Inputs!D$24)*D35))</f>
        <v>0.343939393939394</v>
      </c>
      <c r="E45" s="26" t="n">
        <f aca="false">IF(($B35-(1-Inputs!E$24)*E35)&lt;=0,"n/a",MAX(0,E41-($B38-E38))/($B35-(1-Inputs!E$24)*E35))</f>
        <v>0.3</v>
      </c>
      <c r="F45" s="26" t="n">
        <f aca="false">IF(($B35-(1-Inputs!F$24)*F35)&lt;=0,"n/a",MAX(0,F41-($B38-F38))/($B35-(1-Inputs!F$24)*F35))</f>
        <v>0.334804851885469</v>
      </c>
    </row>
    <row r="46" customFormat="false" ht="15" hidden="false" customHeight="false" outlineLevel="0" collapsed="false">
      <c r="A46" s="8" t="s">
        <v>41</v>
      </c>
      <c r="B46" s="32" t="n">
        <f aca="false">B35/Inputs!$D$18</f>
        <v>0.400492307692308</v>
      </c>
      <c r="C46" s="32" t="n">
        <f aca="false">C35/Inputs!$D$18</f>
        <v>0.380184615384615</v>
      </c>
      <c r="D46" s="32" t="n">
        <f aca="false">D35/Inputs!$D$18</f>
        <v>0.319261538461538</v>
      </c>
      <c r="E46" s="32" t="n">
        <f aca="false">E35/Inputs!$D$18</f>
        <v>0.340492307692308</v>
      </c>
      <c r="F46" s="32" t="n">
        <f aca="false">F35/Inputs!$D$18</f>
        <v>0.279261538461538</v>
      </c>
    </row>
    <row r="50" customFormat="false" ht="15" hidden="false" customHeight="false" outlineLevel="0" collapsed="false">
      <c r="A50" s="15" t="s">
        <v>109</v>
      </c>
      <c r="B50" s="16"/>
      <c r="C50" s="16"/>
      <c r="D50" s="16"/>
      <c r="E50" s="16"/>
      <c r="F50" s="16"/>
    </row>
    <row r="51" customFormat="false" ht="30" hidden="false" customHeight="true" outlineLevel="0" collapsed="false">
      <c r="A51" s="6" t="s">
        <v>92</v>
      </c>
      <c r="B51" s="7" t="s">
        <v>34</v>
      </c>
      <c r="C51" s="7" t="s">
        <v>21</v>
      </c>
      <c r="D51" s="7" t="s">
        <v>22</v>
      </c>
      <c r="E51" s="7" t="s">
        <v>23</v>
      </c>
      <c r="F51" s="7" t="s">
        <v>24</v>
      </c>
    </row>
    <row r="52" customFormat="false" ht="15" hidden="false" customHeight="false" outlineLevel="0" collapsed="false">
      <c r="A52" s="8" t="s">
        <v>93</v>
      </c>
      <c r="B52" s="25" t="n">
        <f aca="false">Inputs!E$6</f>
        <v>0.3</v>
      </c>
      <c r="C52" s="26" t="n">
        <f aca="false">Inputs!E$6*(1-Inputs!C$24)</f>
        <v>0.21</v>
      </c>
      <c r="D52" s="26" t="n">
        <f aca="false">Inputs!E$6*(1-Inputs!D$24)</f>
        <v>0.3</v>
      </c>
      <c r="E52" s="26" t="n">
        <f aca="false">Inputs!E$6*(1-Inputs!E$24)</f>
        <v>0.3</v>
      </c>
      <c r="F52" s="26" t="n">
        <f aca="false">Inputs!E$6*(1-Inputs!F$24)</f>
        <v>0.27</v>
      </c>
    </row>
    <row r="53" customFormat="false" ht="15" hidden="false" customHeight="false" outlineLevel="0" collapsed="false">
      <c r="A53" s="8" t="s">
        <v>94</v>
      </c>
      <c r="B53" s="27" t="n">
        <f aca="false">Inputs!E$9</f>
        <v>8.9</v>
      </c>
      <c r="C53" s="28" t="n">
        <f aca="false">Inputs!E$9-Inputs!E$10*Inputs!C$25</f>
        <v>8.15</v>
      </c>
      <c r="D53" s="28" t="n">
        <f aca="false">Inputs!E$9-Inputs!E$10*Inputs!D$25</f>
        <v>5.9</v>
      </c>
      <c r="E53" s="28" t="n">
        <f aca="false">Inputs!E$9-Inputs!E$10*Inputs!E$25</f>
        <v>8.9</v>
      </c>
      <c r="F53" s="28" t="n">
        <f aca="false">Inputs!E$9-Inputs!E$10*Inputs!F$25</f>
        <v>5.9</v>
      </c>
    </row>
    <row r="54" customFormat="false" ht="15" hidden="false" customHeight="false" outlineLevel="0" collapsed="false">
      <c r="A54" s="8" t="s">
        <v>95</v>
      </c>
      <c r="B54" s="23" t="n">
        <f aca="false">B53*Inputs!$D$15*Inputs!E$8</f>
        <v>1129.61538461538</v>
      </c>
      <c r="C54" s="23" t="n">
        <f aca="false">C53*Inputs!$D$15*Inputs!E$8</f>
        <v>1034.42307692308</v>
      </c>
      <c r="D54" s="23" t="n">
        <f aca="false">D53*Inputs!$D$15*Inputs!E$8</f>
        <v>748.846153846154</v>
      </c>
      <c r="E54" s="23" t="n">
        <f aca="false">E53*Inputs!$D$15*Inputs!E$8</f>
        <v>1129.61538461538</v>
      </c>
      <c r="F54" s="23" t="n">
        <f aca="false">F53*Inputs!$D$15*Inputs!E$8</f>
        <v>748.846153846154</v>
      </c>
    </row>
    <row r="55" customFormat="false" ht="15" hidden="false" customHeight="false" outlineLevel="0" collapsed="false">
      <c r="A55" s="8" t="s">
        <v>96</v>
      </c>
      <c r="B55" s="29" t="n">
        <f aca="false">Inputs!$D$16</f>
        <v>260</v>
      </c>
      <c r="C55" s="29" t="n">
        <f aca="false">Inputs!$D$16</f>
        <v>260</v>
      </c>
      <c r="D55" s="29" t="n">
        <f aca="false">Inputs!$D$16</f>
        <v>260</v>
      </c>
      <c r="E55" s="29" t="n">
        <f aca="false">Inputs!$D$16</f>
        <v>260</v>
      </c>
      <c r="F55" s="29" t="n">
        <f aca="false">Inputs!$D$16</f>
        <v>260</v>
      </c>
    </row>
    <row r="56" customFormat="false" ht="15" hidden="false" customHeight="false" outlineLevel="0" collapsed="false">
      <c r="A56" s="8" t="s">
        <v>97</v>
      </c>
      <c r="B56" s="23" t="n">
        <f aca="false">B54+B55</f>
        <v>1389.61538461538</v>
      </c>
      <c r="C56" s="23" t="n">
        <f aca="false">C54+C55</f>
        <v>1294.42307692308</v>
      </c>
      <c r="D56" s="23" t="n">
        <f aca="false">D54+D55</f>
        <v>1008.84615384615</v>
      </c>
      <c r="E56" s="23" t="n">
        <f aca="false">E54+E55</f>
        <v>1389.61538461538</v>
      </c>
      <c r="F56" s="23" t="n">
        <f aca="false">F54+F55</f>
        <v>1008.84615384615</v>
      </c>
    </row>
    <row r="57" customFormat="false" ht="15" hidden="false" customHeight="false" outlineLevel="0" collapsed="false">
      <c r="A57" s="8" t="s">
        <v>98</v>
      </c>
      <c r="B57" s="23" t="n">
        <v>0</v>
      </c>
      <c r="C57" s="23" t="n">
        <f aca="false">MIN(Inputs!C$27,Inputs!$D$17*C56)</f>
        <v>0</v>
      </c>
      <c r="D57" s="23" t="n">
        <f aca="false">MIN(Inputs!D$27,Inputs!$D$17*D56)</f>
        <v>0</v>
      </c>
      <c r="E57" s="23" t="n">
        <f aca="false">MIN(Inputs!E$27,Inputs!$D$17*E56)</f>
        <v>150</v>
      </c>
      <c r="F57" s="23" t="n">
        <f aca="false">MIN(Inputs!F$27,Inputs!$D$17*F56)</f>
        <v>100</v>
      </c>
    </row>
    <row r="58" customFormat="false" ht="15" hidden="false" customHeight="false" outlineLevel="0" collapsed="false">
      <c r="A58" s="8" t="s">
        <v>39</v>
      </c>
      <c r="B58" s="23" t="n">
        <f aca="false">B56-B57</f>
        <v>1389.61538461538</v>
      </c>
      <c r="C58" s="23" t="n">
        <f aca="false">C56-C57</f>
        <v>1294.42307692308</v>
      </c>
      <c r="D58" s="23" t="n">
        <f aca="false">D56-D57</f>
        <v>1008.84615384615</v>
      </c>
      <c r="E58" s="23" t="n">
        <f aca="false">E56-E57</f>
        <v>1239.61538461538</v>
      </c>
      <c r="F58" s="23" t="n">
        <f aca="false">F56-F57</f>
        <v>908.846153846154</v>
      </c>
    </row>
    <row r="59" customFormat="false" ht="15" hidden="false" customHeight="false" outlineLevel="0" collapsed="false">
      <c r="A59" s="8" t="s">
        <v>99</v>
      </c>
      <c r="B59" s="23" t="n">
        <f aca="false">B52*B58</f>
        <v>416.884615384615</v>
      </c>
      <c r="C59" s="23" t="n">
        <f aca="false">C52*C58</f>
        <v>271.828846153846</v>
      </c>
      <c r="D59" s="23" t="n">
        <f aca="false">D52*D58</f>
        <v>302.653846153846</v>
      </c>
      <c r="E59" s="23" t="n">
        <f aca="false">E52*E58</f>
        <v>371.884615384615</v>
      </c>
      <c r="F59" s="23" t="n">
        <f aca="false">F52*F58</f>
        <v>245.388461538462</v>
      </c>
    </row>
    <row r="60" customFormat="false" ht="15" hidden="false" customHeight="false" outlineLevel="0" collapsed="false">
      <c r="A60" s="8" t="s">
        <v>100</v>
      </c>
      <c r="B60" s="27" t="n">
        <f aca="false">Inputs!E$9</f>
        <v>8.9</v>
      </c>
      <c r="C60" s="28" t="n">
        <f aca="false">Inputs!E$9-Inputs!E$10*Inputs!C$25*Inputs!C$26</f>
        <v>8.9</v>
      </c>
      <c r="D60" s="28" t="n">
        <f aca="false">Inputs!E$9-Inputs!E$10*Inputs!D$25*Inputs!D$26</f>
        <v>5.9</v>
      </c>
      <c r="E60" s="28" t="n">
        <f aca="false">Inputs!E$9-Inputs!E$10*Inputs!E$25*Inputs!E$26</f>
        <v>8.9</v>
      </c>
      <c r="F60" s="28" t="n">
        <f aca="false">Inputs!E$9-Inputs!E$10*Inputs!F$25*Inputs!F$26</f>
        <v>5.9</v>
      </c>
    </row>
    <row r="61" customFormat="false" ht="15" hidden="false" customHeight="false" outlineLevel="0" collapsed="false">
      <c r="A61" s="8" t="s">
        <v>101</v>
      </c>
      <c r="B61" s="23" t="n">
        <f aca="false">Inputs!E$7*B60*Inputs!$D$15*Inputs!E$8</f>
        <v>112.961538461538</v>
      </c>
      <c r="C61" s="23" t="n">
        <f aca="false">Inputs!E$7*C60*Inputs!$D$15*Inputs!E$8</f>
        <v>112.961538461538</v>
      </c>
      <c r="D61" s="23" t="n">
        <f aca="false">Inputs!E$7*D60*Inputs!$D$15*Inputs!E$8</f>
        <v>74.8846153846154</v>
      </c>
      <c r="E61" s="23" t="n">
        <f aca="false">Inputs!E$7*E60*Inputs!$D$15*Inputs!E$8</f>
        <v>112.961538461538</v>
      </c>
      <c r="F61" s="23" t="n">
        <f aca="false">Inputs!E$7*F60*Inputs!$D$15*Inputs!E$8</f>
        <v>74.8846153846154</v>
      </c>
    </row>
    <row r="62" customFormat="false" ht="15" hidden="false" customHeight="false" outlineLevel="0" collapsed="false">
      <c r="A62" s="8" t="s">
        <v>102</v>
      </c>
      <c r="B62" s="23" t="n">
        <f aca="false">B59+B61</f>
        <v>529.846153846154</v>
      </c>
      <c r="C62" s="23" t="n">
        <f aca="false">C59+C61</f>
        <v>384.790384615385</v>
      </c>
      <c r="D62" s="23" t="n">
        <f aca="false">D59+D61</f>
        <v>377.538461538462</v>
      </c>
      <c r="E62" s="23" t="n">
        <f aca="false">E59+E61</f>
        <v>484.846153846154</v>
      </c>
      <c r="F62" s="23" t="n">
        <f aca="false">F59+F61</f>
        <v>320.273076923077</v>
      </c>
    </row>
    <row r="63" customFormat="false" ht="15" hidden="false" customHeight="false" outlineLevel="0" collapsed="false">
      <c r="A63" s="8" t="s">
        <v>103</v>
      </c>
      <c r="B63" s="23"/>
      <c r="C63" s="23" t="n">
        <f aca="false">$B62-C62</f>
        <v>145.055769230769</v>
      </c>
      <c r="D63" s="23" t="n">
        <f aca="false">$B62-D62</f>
        <v>152.307692307692</v>
      </c>
      <c r="E63" s="23" t="n">
        <f aca="false">$B62-E62</f>
        <v>45</v>
      </c>
      <c r="F63" s="23" t="n">
        <f aca="false">$B62-F62</f>
        <v>209.573076923077</v>
      </c>
    </row>
    <row r="64" customFormat="false" ht="15" hidden="false" customHeight="false" outlineLevel="0" collapsed="false">
      <c r="A64" s="8" t="s">
        <v>78</v>
      </c>
      <c r="B64" s="23" t="n">
        <v>0</v>
      </c>
      <c r="C64" s="29" t="n">
        <f aca="false">Inputs!C$23</f>
        <v>150</v>
      </c>
      <c r="D64" s="29" t="n">
        <f aca="false">Inputs!D$23</f>
        <v>80</v>
      </c>
      <c r="E64" s="29" t="n">
        <f aca="false">Inputs!E$23</f>
        <v>45</v>
      </c>
      <c r="F64" s="29" t="n">
        <f aca="false">Inputs!F$23</f>
        <v>135</v>
      </c>
    </row>
    <row r="65" customFormat="false" ht="15" hidden="false" customHeight="false" outlineLevel="0" collapsed="false">
      <c r="A65" s="15" t="s">
        <v>104</v>
      </c>
      <c r="B65" s="30"/>
      <c r="C65" s="30" t="n">
        <f aca="false">C63-C64</f>
        <v>-4.94423076923079</v>
      </c>
      <c r="D65" s="30" t="n">
        <f aca="false">D63-D64</f>
        <v>72.3076923076923</v>
      </c>
      <c r="E65" s="30" t="n">
        <f aca="false">E63-E64</f>
        <v>0</v>
      </c>
      <c r="F65" s="30" t="n">
        <f aca="false">F63-F64</f>
        <v>74.5730769230769</v>
      </c>
    </row>
    <row r="66" customFormat="false" ht="15" hidden="false" customHeight="false" outlineLevel="0" collapsed="false">
      <c r="A66" s="8" t="s">
        <v>105</v>
      </c>
      <c r="B66" s="31"/>
      <c r="C66" s="31" t="n">
        <f aca="false">IF(C64=0,"n/a",C63/C64)</f>
        <v>0.967038461538461</v>
      </c>
      <c r="D66" s="31" t="n">
        <f aca="false">IF(D64=0,"n/a",D63/D64)</f>
        <v>1.90384615384615</v>
      </c>
      <c r="E66" s="31" t="n">
        <f aca="false">IF(E64=0,"n/a",E63/E64)</f>
        <v>1</v>
      </c>
      <c r="F66" s="31" t="n">
        <f aca="false">IF(F64=0,"n/a",F63/F64)</f>
        <v>1.55239316239316</v>
      </c>
    </row>
    <row r="67" customFormat="false" ht="15" hidden="false" customHeight="false" outlineLevel="0" collapsed="false">
      <c r="A67" s="8" t="s">
        <v>106</v>
      </c>
      <c r="B67" s="23"/>
      <c r="C67" s="23" t="n">
        <f aca="false">$B58-C58</f>
        <v>95.1923076923076</v>
      </c>
      <c r="D67" s="23" t="n">
        <f aca="false">$B58-D58</f>
        <v>380.769230769231</v>
      </c>
      <c r="E67" s="23" t="n">
        <f aca="false">$B58-E58</f>
        <v>150</v>
      </c>
      <c r="F67" s="23" t="n">
        <f aca="false">$B58-F58</f>
        <v>480.769230769231</v>
      </c>
    </row>
    <row r="68" customFormat="false" ht="15" hidden="false" customHeight="false" outlineLevel="0" collapsed="false">
      <c r="A68" s="8" t="s">
        <v>107</v>
      </c>
      <c r="B68" s="26"/>
      <c r="C68" s="26" t="n">
        <f aca="false">IF(($B58-(1-Inputs!C$24)*C58)&lt;=0,"n/a",MAX(0,C64-($B61-C61))/($B58-(1-Inputs!C$24)*C58))</f>
        <v>0.310225510082329</v>
      </c>
      <c r="D68" s="26" t="n">
        <f aca="false">IF(($B58-(1-Inputs!D$24)*D58)&lt;=0,"n/a",MAX(0,D64-($B61-D61))/($B58-(1-Inputs!D$24)*D58))</f>
        <v>0.11010101010101</v>
      </c>
      <c r="E68" s="26" t="n">
        <f aca="false">IF(($B58-(1-Inputs!E$24)*E58)&lt;=0,"n/a",MAX(0,E64-($B61-E61))/($B58-(1-Inputs!E$24)*E58))</f>
        <v>0.3</v>
      </c>
      <c r="F68" s="26" t="n">
        <f aca="false">IF(($B58-(1-Inputs!F$24)*F58)&lt;=0,"n/a",MAX(0,F64-($B61-F61))/($B58-(1-Inputs!F$24)*F58))</f>
        <v>0.169548543362713</v>
      </c>
    </row>
    <row r="69" customFormat="false" ht="15" hidden="false" customHeight="false" outlineLevel="0" collapsed="false">
      <c r="A69" s="8" t="s">
        <v>41</v>
      </c>
      <c r="B69" s="32" t="n">
        <f aca="false">B58/Inputs!$D$18</f>
        <v>0.555846153846154</v>
      </c>
      <c r="C69" s="32" t="n">
        <f aca="false">C58/Inputs!$D$18</f>
        <v>0.517769230769231</v>
      </c>
      <c r="D69" s="32" t="n">
        <f aca="false">D58/Inputs!$D$18</f>
        <v>0.403538461538462</v>
      </c>
      <c r="E69" s="32" t="n">
        <f aca="false">E58/Inputs!$D$18</f>
        <v>0.495846153846154</v>
      </c>
      <c r="F69" s="32" t="n">
        <f aca="false">F58/Inputs!$D$18</f>
        <v>0.363538461538462</v>
      </c>
    </row>
    <row r="73" customFormat="false" ht="15" hidden="false" customHeight="false" outlineLevel="0" collapsed="false">
      <c r="A73" s="10" t="s">
        <v>110</v>
      </c>
    </row>
    <row r="74" customFormat="false" ht="31.5" hidden="false" customHeight="true" outlineLevel="0" collapsed="false">
      <c r="A74" s="33" t="s">
        <v>111</v>
      </c>
      <c r="B74" s="33"/>
      <c r="C74" s="33"/>
      <c r="D74" s="33"/>
      <c r="E74" s="33"/>
      <c r="F74" s="33"/>
    </row>
    <row r="75" customFormat="false" ht="31.5" hidden="false" customHeight="true" outlineLevel="0" collapsed="false">
      <c r="A75" s="33" t="s">
        <v>112</v>
      </c>
      <c r="B75" s="33"/>
      <c r="C75" s="33"/>
      <c r="D75" s="33"/>
      <c r="E75" s="33"/>
      <c r="F75" s="33"/>
    </row>
    <row r="76" customFormat="false" ht="31.5" hidden="false" customHeight="true" outlineLevel="0" collapsed="false">
      <c r="A76" s="33" t="s">
        <v>113</v>
      </c>
      <c r="B76" s="33"/>
      <c r="C76" s="33"/>
      <c r="D76" s="33"/>
      <c r="E76" s="33"/>
      <c r="F76" s="33"/>
    </row>
  </sheetData>
  <mergeCells count="3">
    <mergeCell ref="A74:F74"/>
    <mergeCell ref="A75:F75"/>
    <mergeCell ref="A76:F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4" t="s">
        <v>114</v>
      </c>
    </row>
    <row r="3" customFormat="false" ht="15" hidden="false" customHeight="false" outlineLevel="0" collapsed="false">
      <c r="A3" s="10" t="s">
        <v>115</v>
      </c>
    </row>
    <row r="4" customFormat="false" ht="15" hidden="false" customHeight="false" outlineLevel="0" collapsed="false">
      <c r="A4" s="14" t="s">
        <v>116</v>
      </c>
      <c r="B4" s="34" t="n">
        <v>0.5</v>
      </c>
      <c r="C4" s="34" t="n">
        <v>1</v>
      </c>
      <c r="D4" s="34" t="n">
        <v>1.5</v>
      </c>
      <c r="E4" s="34" t="n">
        <v>2</v>
      </c>
      <c r="F4" s="34" t="n">
        <v>2.5</v>
      </c>
      <c r="G4" s="34" t="n">
        <v>3</v>
      </c>
      <c r="H4" s="34" t="n">
        <v>4</v>
      </c>
    </row>
    <row r="5" customFormat="false" ht="15" hidden="false" customHeight="false" outlineLevel="0" collapsed="false">
      <c r="A5" s="35" t="n">
        <v>0.05</v>
      </c>
      <c r="B5" s="36" t="n">
        <f aca="false">B$4*Inputs!$D$15*Inputs!$D$8*($A5+Inputs!$D$7)-Inputs!$D$23</f>
        <v>-74.9230769230769</v>
      </c>
      <c r="C5" s="36" t="n">
        <f aca="false">C$4*Inputs!$D$15*Inputs!$D$8*($A5+Inputs!$D$7)-Inputs!$D$23</f>
        <v>-69.8461538461538</v>
      </c>
      <c r="D5" s="36" t="n">
        <f aca="false">D$4*Inputs!$D$15*Inputs!$D$8*($A5+Inputs!$D$7)-Inputs!$D$23</f>
        <v>-64.7692307692308</v>
      </c>
      <c r="E5" s="36" t="n">
        <f aca="false">E$4*Inputs!$D$15*Inputs!$D$8*($A5+Inputs!$D$7)-Inputs!$D$23</f>
        <v>-59.6923076923077</v>
      </c>
      <c r="F5" s="36" t="n">
        <f aca="false">F$4*Inputs!$D$15*Inputs!$D$8*($A5+Inputs!$D$7)-Inputs!$D$23</f>
        <v>-54.6153846153846</v>
      </c>
      <c r="G5" s="36" t="n">
        <f aca="false">G$4*Inputs!$D$15*Inputs!$D$8*($A5+Inputs!$D$7)-Inputs!$D$23</f>
        <v>-49.5384615384615</v>
      </c>
      <c r="H5" s="36" t="n">
        <f aca="false">H$4*Inputs!$D$15*Inputs!$D$8*($A5+Inputs!$D$7)-Inputs!$D$23</f>
        <v>-39.3846153846154</v>
      </c>
    </row>
    <row r="6" customFormat="false" ht="15" hidden="false" customHeight="false" outlineLevel="0" collapsed="false">
      <c r="A6" s="35" t="n">
        <v>0.1</v>
      </c>
      <c r="B6" s="36" t="n">
        <f aca="false">B$4*Inputs!$D$15*Inputs!$D$8*($A6+Inputs!$D$7)-Inputs!$D$23</f>
        <v>-72.3846153846154</v>
      </c>
      <c r="C6" s="36" t="n">
        <f aca="false">C$4*Inputs!$D$15*Inputs!$D$8*($A6+Inputs!$D$7)-Inputs!$D$23</f>
        <v>-64.7692307692308</v>
      </c>
      <c r="D6" s="36" t="n">
        <f aca="false">D$4*Inputs!$D$15*Inputs!$D$8*($A6+Inputs!$D$7)-Inputs!$D$23</f>
        <v>-57.1538461538461</v>
      </c>
      <c r="E6" s="36" t="n">
        <f aca="false">E$4*Inputs!$D$15*Inputs!$D$8*($A6+Inputs!$D$7)-Inputs!$D$23</f>
        <v>-49.5384615384615</v>
      </c>
      <c r="F6" s="36" t="n">
        <f aca="false">F$4*Inputs!$D$15*Inputs!$D$8*($A6+Inputs!$D$7)-Inputs!$D$23</f>
        <v>-41.9230769230769</v>
      </c>
      <c r="G6" s="36" t="n">
        <f aca="false">G$4*Inputs!$D$15*Inputs!$D$8*($A6+Inputs!$D$7)-Inputs!$D$23</f>
        <v>-34.3076923076923</v>
      </c>
      <c r="H6" s="36" t="n">
        <f aca="false">H$4*Inputs!$D$15*Inputs!$D$8*($A6+Inputs!$D$7)-Inputs!$D$23</f>
        <v>-19.0769230769231</v>
      </c>
    </row>
    <row r="7" customFormat="false" ht="15" hidden="false" customHeight="false" outlineLevel="0" collapsed="false">
      <c r="A7" s="35" t="n">
        <v>0.15</v>
      </c>
      <c r="B7" s="36" t="n">
        <f aca="false">B$4*Inputs!$D$15*Inputs!$D$8*($A7+Inputs!$D$7)-Inputs!$D$23</f>
        <v>-69.8461538461538</v>
      </c>
      <c r="C7" s="36" t="n">
        <f aca="false">C$4*Inputs!$D$15*Inputs!$D$8*($A7+Inputs!$D$7)-Inputs!$D$23</f>
        <v>-59.6923076923077</v>
      </c>
      <c r="D7" s="36" t="n">
        <f aca="false">D$4*Inputs!$D$15*Inputs!$D$8*($A7+Inputs!$D$7)-Inputs!$D$23</f>
        <v>-49.5384615384615</v>
      </c>
      <c r="E7" s="36" t="n">
        <f aca="false">E$4*Inputs!$D$15*Inputs!$D$8*($A7+Inputs!$D$7)-Inputs!$D$23</f>
        <v>-39.3846153846154</v>
      </c>
      <c r="F7" s="36" t="n">
        <f aca="false">F$4*Inputs!$D$15*Inputs!$D$8*($A7+Inputs!$D$7)-Inputs!$D$23</f>
        <v>-29.2307692307692</v>
      </c>
      <c r="G7" s="36" t="n">
        <f aca="false">G$4*Inputs!$D$15*Inputs!$D$8*($A7+Inputs!$D$7)-Inputs!$D$23</f>
        <v>-19.0769230769231</v>
      </c>
      <c r="H7" s="36" t="n">
        <f aca="false">H$4*Inputs!$D$15*Inputs!$D$8*($A7+Inputs!$D$7)-Inputs!$D$23</f>
        <v>1.23076923076924</v>
      </c>
    </row>
    <row r="8" customFormat="false" ht="15" hidden="false" customHeight="false" outlineLevel="0" collapsed="false">
      <c r="A8" s="35" t="n">
        <v>0.2</v>
      </c>
      <c r="B8" s="36" t="n">
        <f aca="false">B$4*Inputs!$D$15*Inputs!$D$8*($A8+Inputs!$D$7)-Inputs!$D$23</f>
        <v>-67.3076923076923</v>
      </c>
      <c r="C8" s="36" t="n">
        <f aca="false">C$4*Inputs!$D$15*Inputs!$D$8*($A8+Inputs!$D$7)-Inputs!$D$23</f>
        <v>-54.6153846153846</v>
      </c>
      <c r="D8" s="36" t="n">
        <f aca="false">D$4*Inputs!$D$15*Inputs!$D$8*($A8+Inputs!$D$7)-Inputs!$D$23</f>
        <v>-41.9230769230769</v>
      </c>
      <c r="E8" s="36" t="n">
        <f aca="false">E$4*Inputs!$D$15*Inputs!$D$8*($A8+Inputs!$D$7)-Inputs!$D$23</f>
        <v>-29.2307692307692</v>
      </c>
      <c r="F8" s="36" t="n">
        <f aca="false">F$4*Inputs!$D$15*Inputs!$D$8*($A8+Inputs!$D$7)-Inputs!$D$23</f>
        <v>-16.5384615384615</v>
      </c>
      <c r="G8" s="36" t="n">
        <f aca="false">G$4*Inputs!$D$15*Inputs!$D$8*($A8+Inputs!$D$7)-Inputs!$D$23</f>
        <v>-3.84615384615384</v>
      </c>
      <c r="H8" s="36" t="n">
        <f aca="false">H$4*Inputs!$D$15*Inputs!$D$8*($A8+Inputs!$D$7)-Inputs!$D$23</f>
        <v>21.5384615384615</v>
      </c>
    </row>
    <row r="9" customFormat="false" ht="15" hidden="false" customHeight="false" outlineLevel="0" collapsed="false">
      <c r="A9" s="35" t="n">
        <v>0.25</v>
      </c>
      <c r="B9" s="36" t="n">
        <f aca="false">B$4*Inputs!$D$15*Inputs!$D$8*($A9+Inputs!$D$7)-Inputs!$D$23</f>
        <v>-64.7692307692308</v>
      </c>
      <c r="C9" s="36" t="n">
        <f aca="false">C$4*Inputs!$D$15*Inputs!$D$8*($A9+Inputs!$D$7)-Inputs!$D$23</f>
        <v>-49.5384615384615</v>
      </c>
      <c r="D9" s="36" t="n">
        <f aca="false">D$4*Inputs!$D$15*Inputs!$D$8*($A9+Inputs!$D$7)-Inputs!$D$23</f>
        <v>-34.3076923076923</v>
      </c>
      <c r="E9" s="36" t="n">
        <f aca="false">E$4*Inputs!$D$15*Inputs!$D$8*($A9+Inputs!$D$7)-Inputs!$D$23</f>
        <v>-19.0769230769231</v>
      </c>
      <c r="F9" s="36" t="n">
        <f aca="false">F$4*Inputs!$D$15*Inputs!$D$8*($A9+Inputs!$D$7)-Inputs!$D$23</f>
        <v>-3.84615384615384</v>
      </c>
      <c r="G9" s="36" t="n">
        <f aca="false">G$4*Inputs!$D$15*Inputs!$D$8*($A9+Inputs!$D$7)-Inputs!$D$23</f>
        <v>11.3846153846154</v>
      </c>
      <c r="H9" s="36" t="n">
        <f aca="false">H$4*Inputs!$D$15*Inputs!$D$8*($A9+Inputs!$D$7)-Inputs!$D$23</f>
        <v>41.8461538461539</v>
      </c>
    </row>
    <row r="10" customFormat="false" ht="15" hidden="false" customHeight="false" outlineLevel="0" collapsed="false">
      <c r="A10" s="35" t="n">
        <v>0.3</v>
      </c>
      <c r="B10" s="36" t="n">
        <f aca="false">B$4*Inputs!$D$15*Inputs!$D$8*($A10+Inputs!$D$7)-Inputs!$D$23</f>
        <v>-62.2307692307692</v>
      </c>
      <c r="C10" s="36" t="n">
        <f aca="false">C$4*Inputs!$D$15*Inputs!$D$8*($A10+Inputs!$D$7)-Inputs!$D$23</f>
        <v>-44.4615384615385</v>
      </c>
      <c r="D10" s="36" t="n">
        <f aca="false">D$4*Inputs!$D$15*Inputs!$D$8*($A10+Inputs!$D$7)-Inputs!$D$23</f>
        <v>-26.6923076923077</v>
      </c>
      <c r="E10" s="36" t="n">
        <f aca="false">E$4*Inputs!$D$15*Inputs!$D$8*($A10+Inputs!$D$7)-Inputs!$D$23</f>
        <v>-8.92307692307692</v>
      </c>
      <c r="F10" s="36" t="n">
        <f aca="false">F$4*Inputs!$D$15*Inputs!$D$8*($A10+Inputs!$D$7)-Inputs!$D$23</f>
        <v>8.84615384615385</v>
      </c>
      <c r="G10" s="36" t="n">
        <f aca="false">G$4*Inputs!$D$15*Inputs!$D$8*($A10+Inputs!$D$7)-Inputs!$D$23</f>
        <v>26.6153846153846</v>
      </c>
      <c r="H10" s="36" t="n">
        <f aca="false">H$4*Inputs!$D$15*Inputs!$D$8*($A10+Inputs!$D$7)-Inputs!$D$23</f>
        <v>62.1538461538462</v>
      </c>
    </row>
    <row r="11" customFormat="false" ht="15" hidden="false" customHeight="false" outlineLevel="0" collapsed="false">
      <c r="A11" s="35" t="n">
        <v>0.4</v>
      </c>
      <c r="B11" s="36" t="n">
        <f aca="false">B$4*Inputs!$D$15*Inputs!$D$8*($A11+Inputs!$D$7)-Inputs!$D$23</f>
        <v>-57.1538461538461</v>
      </c>
      <c r="C11" s="36" t="n">
        <f aca="false">C$4*Inputs!$D$15*Inputs!$D$8*($A11+Inputs!$D$7)-Inputs!$D$23</f>
        <v>-34.3076923076923</v>
      </c>
      <c r="D11" s="36" t="n">
        <f aca="false">D$4*Inputs!$D$15*Inputs!$D$8*($A11+Inputs!$D$7)-Inputs!$D$23</f>
        <v>-11.4615384615385</v>
      </c>
      <c r="E11" s="36" t="n">
        <f aca="false">E$4*Inputs!$D$15*Inputs!$D$8*($A11+Inputs!$D$7)-Inputs!$D$23</f>
        <v>11.3846153846154</v>
      </c>
      <c r="F11" s="36" t="n">
        <f aca="false">F$4*Inputs!$D$15*Inputs!$D$8*($A11+Inputs!$D$7)-Inputs!$D$23</f>
        <v>34.2307692307692</v>
      </c>
      <c r="G11" s="36" t="n">
        <f aca="false">G$4*Inputs!$D$15*Inputs!$D$8*($A11+Inputs!$D$7)-Inputs!$D$23</f>
        <v>57.0769230769231</v>
      </c>
      <c r="H11" s="36" t="n">
        <f aca="false">H$4*Inputs!$D$15*Inputs!$D$8*($A11+Inputs!$D$7)-Inputs!$D$23</f>
        <v>102.769230769231</v>
      </c>
    </row>
    <row r="14" customFormat="false" ht="15" hidden="false" customHeight="false" outlineLevel="0" collapsed="false">
      <c r="A14" s="10" t="s">
        <v>117</v>
      </c>
    </row>
    <row r="15" customFormat="false" ht="15" hidden="false" customHeight="false" outlineLevel="0" collapsed="false">
      <c r="A15" s="14" t="s">
        <v>118</v>
      </c>
      <c r="B15" s="37" t="n">
        <v>1</v>
      </c>
      <c r="C15" s="37" t="n">
        <v>2</v>
      </c>
      <c r="D15" s="37" t="n">
        <v>3</v>
      </c>
    </row>
    <row r="16" customFormat="false" ht="15" hidden="false" customHeight="false" outlineLevel="0" collapsed="false">
      <c r="A16" s="38" t="n">
        <v>50</v>
      </c>
      <c r="B16" s="39" t="n">
        <f aca="false">$A16/(B$15*Inputs!$D$15*Inputs!$D$8)</f>
        <v>0.492424242424242</v>
      </c>
      <c r="C16" s="39" t="n">
        <f aca="false">$A16/(C$15*Inputs!$D$15*Inputs!$D$8)</f>
        <v>0.246212121212121</v>
      </c>
      <c r="D16" s="39" t="n">
        <f aca="false">$A16/(D$15*Inputs!$D$15*Inputs!$D$8)</f>
        <v>0.164141414141414</v>
      </c>
    </row>
    <row r="17" customFormat="false" ht="15" hidden="false" customHeight="false" outlineLevel="0" collapsed="false">
      <c r="A17" s="38" t="n">
        <v>100</v>
      </c>
      <c r="B17" s="39" t="n">
        <f aca="false">$A17/(B$15*Inputs!$D$15*Inputs!$D$8)</f>
        <v>0.984848484848485</v>
      </c>
      <c r="C17" s="39" t="n">
        <f aca="false">$A17/(C$15*Inputs!$D$15*Inputs!$D$8)</f>
        <v>0.492424242424242</v>
      </c>
      <c r="D17" s="39" t="n">
        <f aca="false">$A17/(D$15*Inputs!$D$15*Inputs!$D$8)</f>
        <v>0.328282828282828</v>
      </c>
    </row>
    <row r="18" customFormat="false" ht="15" hidden="false" customHeight="false" outlineLevel="0" collapsed="false">
      <c r="A18" s="38" t="n">
        <v>200</v>
      </c>
      <c r="B18" s="39" t="n">
        <f aca="false">$A18/(B$15*Inputs!$D$15*Inputs!$D$8)</f>
        <v>1.96969696969697</v>
      </c>
      <c r="C18" s="39" t="n">
        <f aca="false">$A18/(C$15*Inputs!$D$15*Inputs!$D$8)</f>
        <v>0.984848484848485</v>
      </c>
      <c r="D18" s="39" t="n">
        <f aca="false">$A18/(D$15*Inputs!$D$15*Inputs!$D$8)</f>
        <v>0.656565656565657</v>
      </c>
    </row>
    <row r="21" customFormat="false" ht="15" hidden="false" customHeight="false" outlineLevel="0" collapsed="false">
      <c r="A21" s="10" t="s">
        <v>119</v>
      </c>
    </row>
    <row r="22" customFormat="false" ht="23.85" hidden="false" customHeight="false" outlineLevel="0" collapsed="false">
      <c r="A22" s="14" t="s">
        <v>120</v>
      </c>
      <c r="B22" s="40" t="s">
        <v>23</v>
      </c>
      <c r="C22" s="40" t="s">
        <v>24</v>
      </c>
    </row>
    <row r="23" customFormat="false" ht="15" hidden="false" customHeight="false" outlineLevel="0" collapsed="false">
      <c r="A23" s="35" t="n">
        <v>0</v>
      </c>
      <c r="B23" s="36" t="n">
        <f aca="false">Inputs!$D$6*MIN(Inputs!$E$27,$A23*Model!$B$33)-Inputs!$E$23</f>
        <v>-45</v>
      </c>
      <c r="C23" s="36" t="n">
        <f aca="false">(Inputs!$D$6*Model!$B$33-Model!$F$29*(Model!$F$33-MIN(Inputs!$F$27,$A23*Model!$F$33)))+(Model!$B$38-Model!$F$38)-Inputs!$F$23</f>
        <v>-82.4123076923077</v>
      </c>
    </row>
    <row r="24" customFormat="false" ht="15" hidden="false" customHeight="false" outlineLevel="0" collapsed="false">
      <c r="A24" s="35" t="n">
        <v>0.06</v>
      </c>
      <c r="B24" s="36" t="n">
        <f aca="false">Inputs!$D$6*MIN(Inputs!$E$27,$A24*Model!$B$33)-Inputs!$E$23</f>
        <v>-35.9889230769231</v>
      </c>
      <c r="C24" s="36" t="n">
        <f aca="false">(Inputs!$D$6*Model!$B$33-Model!$F$29*(Model!$F$33-MIN(Inputs!$F$27,$A24*Model!$F$33)))+(Model!$B$38-Model!$F$38)-Inputs!$F$23</f>
        <v>-75.9472615384615</v>
      </c>
    </row>
    <row r="25" customFormat="false" ht="15" hidden="false" customHeight="false" outlineLevel="0" collapsed="false">
      <c r="A25" s="35" t="n">
        <v>0.33</v>
      </c>
      <c r="B25" s="36" t="n">
        <f aca="false">Inputs!$D$6*MIN(Inputs!$E$27,$A25*Model!$B$33)-Inputs!$E$23</f>
        <v>-22.5</v>
      </c>
      <c r="C25" s="36" t="n">
        <f aca="false">(Inputs!$D$6*Model!$B$33-Model!$F$29*(Model!$F$33-MIN(Inputs!$F$27,$A25*Model!$F$33)))+(Model!$B$38-Model!$F$38)-Inputs!$F$23</f>
        <v>-68.9123076923077</v>
      </c>
    </row>
    <row r="26" customFormat="false" ht="15" hidden="false" customHeight="false" outlineLevel="0" collapsed="false">
      <c r="A26" s="35" t="n">
        <v>0.5</v>
      </c>
      <c r="B26" s="36" t="n">
        <f aca="false">Inputs!$D$6*MIN(Inputs!$E$27,$A26*Model!$B$33)-Inputs!$E$23</f>
        <v>-22.5</v>
      </c>
      <c r="C26" s="36" t="n">
        <f aca="false">(Inputs!$D$6*Model!$B$33-Model!$F$29*(Model!$F$33-MIN(Inputs!$F$27,$A26*Model!$F$33)))+(Model!$B$38-Model!$F$38)-Inputs!$F$23</f>
        <v>-68.9123076923077</v>
      </c>
    </row>
    <row r="27" customFormat="false" ht="15" hidden="false" customHeight="false" outlineLevel="0" collapsed="false">
      <c r="A27" s="5" t="s">
        <v>121</v>
      </c>
    </row>
    <row r="29" customFormat="false" ht="15" hidden="false" customHeight="false" outlineLevel="0" collapsed="false">
      <c r="A29" s="10" t="s">
        <v>122</v>
      </c>
    </row>
    <row r="30" customFormat="false" ht="23.85" hidden="false" customHeight="false" outlineLevel="0" collapsed="false">
      <c r="A30" s="14" t="s">
        <v>123</v>
      </c>
      <c r="B30" s="40" t="s">
        <v>22</v>
      </c>
      <c r="C30" s="40" t="s">
        <v>24</v>
      </c>
    </row>
    <row r="31" customFormat="false" ht="15" hidden="false" customHeight="false" outlineLevel="0" collapsed="false">
      <c r="A31" s="41" t="n">
        <v>0.5</v>
      </c>
      <c r="B31" s="36" t="n">
        <f aca="false">Model!$D$40-$A31*Inputs!$D$23</f>
        <v>0.615384615384642</v>
      </c>
      <c r="C31" s="36" t="n">
        <f aca="false">Model!$F$40-$A31*Inputs!$F$23</f>
        <v>-1.41230769230769</v>
      </c>
    </row>
    <row r="32" customFormat="false" ht="15" hidden="false" customHeight="false" outlineLevel="0" collapsed="false">
      <c r="A32" s="41" t="n">
        <v>0.75</v>
      </c>
      <c r="B32" s="36" t="n">
        <f aca="false">Model!$D$40-$A32*Inputs!$D$23</f>
        <v>-19.3846153846154</v>
      </c>
      <c r="C32" s="36" t="n">
        <f aca="false">Model!$F$40-$A32*Inputs!$F$23</f>
        <v>-35.1623076923077</v>
      </c>
    </row>
    <row r="33" customFormat="false" ht="15" hidden="false" customHeight="false" outlineLevel="0" collapsed="false">
      <c r="A33" s="41" t="n">
        <v>1</v>
      </c>
      <c r="B33" s="36" t="n">
        <f aca="false">Model!$D$40-$A33*Inputs!$D$23</f>
        <v>-39.3846153846154</v>
      </c>
      <c r="C33" s="36" t="n">
        <f aca="false">Model!$F$40-$A33*Inputs!$F$23</f>
        <v>-68.9123076923077</v>
      </c>
    </row>
    <row r="34" customFormat="false" ht="15" hidden="false" customHeight="false" outlineLevel="0" collapsed="false">
      <c r="A34" s="41" t="n">
        <v>1.25</v>
      </c>
      <c r="B34" s="36" t="n">
        <f aca="false">Model!$D$40-$A34*Inputs!$D$23</f>
        <v>-59.3846153846154</v>
      </c>
      <c r="C34" s="36" t="n">
        <f aca="false">Model!$F$40-$A34*Inputs!$F$23</f>
        <v>-102.662307692308</v>
      </c>
    </row>
    <row r="35" customFormat="false" ht="15" hidden="false" customHeight="false" outlineLevel="0" collapsed="false">
      <c r="A35" s="41" t="n">
        <v>1.5</v>
      </c>
      <c r="B35" s="36" t="n">
        <f aca="false">Model!$D$40-$A35*Inputs!$D$23</f>
        <v>-79.3846153846154</v>
      </c>
      <c r="C35" s="36" t="n">
        <f aca="false">Model!$F$40-$A35*Inputs!$F$23</f>
        <v>-136.412307692308</v>
      </c>
    </row>
    <row r="38" customFormat="false" ht="15" hidden="false" customHeight="false" outlineLevel="0" collapsed="false">
      <c r="A38" s="10" t="s">
        <v>124</v>
      </c>
    </row>
    <row r="39" customFormat="false" ht="15" hidden="false" customHeight="false" outlineLevel="0" collapsed="false">
      <c r="A39" s="14" t="s">
        <v>125</v>
      </c>
      <c r="B39" s="14" t="s">
        <v>22</v>
      </c>
    </row>
    <row r="40" customFormat="false" ht="15" hidden="false" customHeight="false" outlineLevel="0" collapsed="false">
      <c r="A40" s="35" t="n">
        <v>0.1</v>
      </c>
      <c r="B40" s="36" t="n">
        <f aca="false">Inputs!$D$10*Inputs!$D$15*$A40*(Inputs!$D$6+Inputs!$D$7)-Inputs!$D$23</f>
        <v>-59.6923076923077</v>
      </c>
    </row>
    <row r="41" customFormat="false" ht="15" hidden="false" customHeight="false" outlineLevel="0" collapsed="false">
      <c r="A41" s="35" t="n">
        <v>0.15</v>
      </c>
      <c r="B41" s="36" t="n">
        <f aca="false">Inputs!$D$10*Inputs!$D$15*$A41*(Inputs!$D$6+Inputs!$D$7)-Inputs!$D$23</f>
        <v>-49.5384615384615</v>
      </c>
    </row>
    <row r="42" customFormat="false" ht="15" hidden="false" customHeight="false" outlineLevel="0" collapsed="false">
      <c r="A42" s="35" t="n">
        <v>0.2</v>
      </c>
      <c r="B42" s="36" t="n">
        <f aca="false">Inputs!$D$10*Inputs!$D$15*$A42*(Inputs!$D$6+Inputs!$D$7)-Inputs!$D$23</f>
        <v>-39.3846153846154</v>
      </c>
    </row>
    <row r="43" customFormat="false" ht="15" hidden="false" customHeight="false" outlineLevel="0" collapsed="false">
      <c r="A43" s="35" t="n">
        <v>0.25</v>
      </c>
      <c r="B43" s="36" t="n">
        <f aca="false">Inputs!$D$10*Inputs!$D$15*$A43*(Inputs!$D$6+Inputs!$D$7)-Inputs!$D$23</f>
        <v>-29.2307692307692</v>
      </c>
    </row>
    <row r="44" customFormat="false" ht="15" hidden="false" customHeight="false" outlineLevel="0" collapsed="false">
      <c r="A44" s="35" t="n">
        <v>0.3</v>
      </c>
      <c r="B44" s="36" t="n">
        <f aca="false">Inputs!$D$10*Inputs!$D$15*$A44*(Inputs!$D$6+Inputs!$D$7)-Inputs!$D$23</f>
        <v>-19.0769230769231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2"/>
    <col collapsed="false" customWidth="true" hidden="false" outlineLevel="0" max="3" min="3" style="0" width="32"/>
  </cols>
  <sheetData>
    <row r="1" customFormat="false" ht="16.15" hidden="false" customHeight="false" outlineLevel="0" collapsed="false">
      <c r="A1" s="4" t="s">
        <v>126</v>
      </c>
    </row>
    <row r="3" customFormat="false" ht="15" hidden="false" customHeight="false" outlineLevel="0" collapsed="false">
      <c r="A3" s="6" t="s">
        <v>127</v>
      </c>
      <c r="B3" s="7" t="s">
        <v>128</v>
      </c>
      <c r="C3" s="7" t="s">
        <v>129</v>
      </c>
    </row>
    <row r="4" customFormat="false" ht="15" hidden="false" customHeight="false" outlineLevel="0" collapsed="false">
      <c r="A4" s="8" t="s">
        <v>130</v>
      </c>
      <c r="B4" s="42" t="str">
        <f aca="false">IF(ABS(Inputs!D15-508)&lt;1,"PASS","FAIL")</f>
        <v>PASS</v>
      </c>
      <c r="C4" s="8" t="s">
        <v>131</v>
      </c>
    </row>
    <row r="5" customFormat="false" ht="15" hidden="false" customHeight="false" outlineLevel="0" collapsed="false">
      <c r="A5" s="8" t="s">
        <v>132</v>
      </c>
      <c r="B5" s="42" t="str">
        <f aca="false">IF(ABS(Model!B33-(Inputs!D9*Inputs!D15*Inputs!D8+Inputs!D16))&lt;0.01,"PASS","FAIL")</f>
        <v>PASS</v>
      </c>
      <c r="C5" s="8" t="s">
        <v>133</v>
      </c>
    </row>
    <row r="6" customFormat="false" ht="15" hidden="false" customHeight="false" outlineLevel="0" collapsed="false">
      <c r="A6" s="8" t="s">
        <v>134</v>
      </c>
      <c r="B6" s="42" t="str">
        <f aca="false">IF(ABS(Sensitivity!E7-Model!D42)&lt;0.01,"PASS","FAIL")</f>
        <v>PASS</v>
      </c>
      <c r="C6" s="8" t="s">
        <v>135</v>
      </c>
    </row>
    <row r="7" customFormat="false" ht="15" hidden="false" customHeight="false" outlineLevel="0" collapsed="false">
      <c r="A7" s="8" t="s">
        <v>136</v>
      </c>
      <c r="B7" s="42" t="str">
        <f aca="false">IF(AND(MIN(Inputs!C6:E7,Inputs!C24:F24)&gt;=0,MAX(Inputs!C6:E7,Inputs!C24:F24)&lt;=1),"PASS","FAIL")</f>
        <v>PASS</v>
      </c>
      <c r="C7" s="8" t="s">
        <v>137</v>
      </c>
    </row>
    <row r="8" customFormat="false" ht="15" hidden="false" customHeight="false" outlineLevel="0" collapsed="false">
      <c r="A8" s="8" t="s">
        <v>138</v>
      </c>
      <c r="B8" s="42" t="str">
        <f aca="false">IF(AND(Model!E34&lt;=Inputs!E27,Model!F34&lt;=Inputs!F27,Model!E11&lt;=Inputs!E27,Model!F57&lt;=Inputs!F27),"PASS","FAIL")</f>
        <v>PASS</v>
      </c>
      <c r="C8" s="8" t="s">
        <v>139</v>
      </c>
    </row>
    <row r="9" customFormat="false" ht="15" hidden="false" customHeight="false" outlineLevel="0" collapsed="false">
      <c r="A9" s="8" t="s">
        <v>140</v>
      </c>
      <c r="B9" s="42" t="str">
        <f aca="false">IF(ABS(Model!F42-(Model!F40-Inputs!F23))&lt;0.01,"PASS","FAIL")</f>
        <v>PASS</v>
      </c>
      <c r="C9" s="8" t="s">
        <v>133</v>
      </c>
    </row>
    <row r="11" customFormat="false" ht="15" hidden="false" customHeight="false" outlineLevel="0" collapsed="false">
      <c r="A11" s="10" t="s">
        <v>141</v>
      </c>
      <c r="B11" s="10" t="str">
        <f aca="false">IF(COUNTIF(B4:B9,"PASS")=6,"ALL CHECKS PASS","CHECK FAILED")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0"/>
    <col collapsed="false" customWidth="true" hidden="false" outlineLevel="0" max="3" min="3" style="0" width="52"/>
  </cols>
  <sheetData>
    <row r="1" customFormat="false" ht="16.15" hidden="false" customHeight="false" outlineLevel="0" collapsed="false">
      <c r="A1" s="4" t="s">
        <v>142</v>
      </c>
    </row>
    <row r="3" customFormat="false" ht="15" hidden="false" customHeight="false" outlineLevel="0" collapsed="false">
      <c r="A3" s="6" t="s">
        <v>143</v>
      </c>
      <c r="B3" s="7" t="s">
        <v>144</v>
      </c>
      <c r="C3" s="7" t="s">
        <v>145</v>
      </c>
    </row>
    <row r="4" customFormat="false" ht="15" hidden="false" customHeight="false" outlineLevel="0" collapsed="false">
      <c r="A4" s="8" t="s">
        <v>146</v>
      </c>
      <c r="B4" s="8" t="s">
        <v>147</v>
      </c>
      <c r="C4" s="8" t="s">
        <v>148</v>
      </c>
    </row>
    <row r="5" customFormat="false" ht="15" hidden="false" customHeight="false" outlineLevel="0" collapsed="false">
      <c r="A5" s="8" t="s">
        <v>149</v>
      </c>
      <c r="B5" s="8" t="s">
        <v>150</v>
      </c>
      <c r="C5" s="8" t="s">
        <v>151</v>
      </c>
    </row>
    <row r="6" customFormat="false" ht="15" hidden="false" customHeight="false" outlineLevel="0" collapsed="false">
      <c r="A6" s="8" t="s">
        <v>152</v>
      </c>
      <c r="B6" s="8" t="s">
        <v>153</v>
      </c>
      <c r="C6" s="8" t="s">
        <v>154</v>
      </c>
    </row>
    <row r="7" customFormat="false" ht="15" hidden="false" customHeight="false" outlineLevel="0" collapsed="false">
      <c r="A7" s="8" t="s">
        <v>155</v>
      </c>
      <c r="B7" s="8" t="s">
        <v>156</v>
      </c>
      <c r="C7" s="8" t="s">
        <v>157</v>
      </c>
    </row>
    <row r="8" customFormat="false" ht="15" hidden="false" customHeight="false" outlineLevel="0" collapsed="false">
      <c r="A8" s="8" t="s">
        <v>158</v>
      </c>
      <c r="B8" s="8" t="s">
        <v>159</v>
      </c>
      <c r="C8" s="8" t="s">
        <v>160</v>
      </c>
    </row>
    <row r="9" customFormat="false" ht="15" hidden="false" customHeight="false" outlineLevel="0" collapsed="false">
      <c r="A9" s="8" t="s">
        <v>161</v>
      </c>
      <c r="B9" s="8" t="s">
        <v>162</v>
      </c>
      <c r="C9" s="8" t="s">
        <v>163</v>
      </c>
    </row>
    <row r="10" customFormat="false" ht="15" hidden="false" customHeight="false" outlineLevel="0" collapsed="false">
      <c r="A10" s="8" t="s">
        <v>164</v>
      </c>
      <c r="B10" s="8" t="s">
        <v>165</v>
      </c>
      <c r="C10" s="8" t="s">
        <v>166</v>
      </c>
    </row>
    <row r="11" customFormat="false" ht="15" hidden="false" customHeight="false" outlineLevel="0" collapsed="false">
      <c r="A11" s="8" t="s">
        <v>167</v>
      </c>
      <c r="B11" s="8" t="s">
        <v>168</v>
      </c>
      <c r="C11" s="8" t="s">
        <v>169</v>
      </c>
    </row>
    <row r="12" customFormat="false" ht="15" hidden="false" customHeight="false" outlineLevel="0" collapsed="false">
      <c r="A12" s="8" t="s">
        <v>170</v>
      </c>
      <c r="B12" s="8" t="s">
        <v>171</v>
      </c>
      <c r="C12" s="8" t="s">
        <v>172</v>
      </c>
    </row>
    <row r="13" customFormat="false" ht="15" hidden="false" customHeight="false" outlineLevel="0" collapsed="false">
      <c r="A13" s="8" t="s">
        <v>173</v>
      </c>
      <c r="B13" s="8" t="s">
        <v>174</v>
      </c>
      <c r="C13" s="8" t="s">
        <v>175</v>
      </c>
    </row>
    <row r="14" customFormat="false" ht="15" hidden="false" customHeight="false" outlineLevel="0" collapsed="false">
      <c r="A14" s="8" t="s">
        <v>176</v>
      </c>
      <c r="B14" s="8" t="s">
        <v>177</v>
      </c>
      <c r="C14" s="8" t="s">
        <v>178</v>
      </c>
    </row>
    <row r="15" customFormat="false" ht="15" hidden="false" customHeight="false" outlineLevel="0" collapsed="false">
      <c r="A15" s="8" t="s">
        <v>179</v>
      </c>
      <c r="B15" s="8" t="s">
        <v>180</v>
      </c>
      <c r="C15" s="8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2026-10-21T02:18:15Z</dcterms:created>
  <dc:creator>openpyxl</dc:creator>
  <dc:description/>
  <dc:language>en-US</dc:language>
  <cp:lastModifiedBy/>
  <dcterms:modified xsi:type="dcterms:W3CDTF">2026-10-21T03:18:18Z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